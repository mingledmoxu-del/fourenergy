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D:\4Text\研究生\研一\能源选址\excel\"/>
    </mc:Choice>
  </mc:AlternateContent>
  <bookViews>
    <workbookView xWindow="0" yWindow="0" windowWidth="29070" windowHeight="15870" activeTab="4"/>
  </bookViews>
  <sheets>
    <sheet name="风能" sheetId="1" r:id="rId1"/>
    <sheet name="风能选型最新" sheetId="6" r:id="rId2"/>
    <sheet name="风机功率曲线" sheetId="8" r:id="rId3"/>
    <sheet name="风功率曲线2" sheetId="9" r:id="rId4"/>
    <sheet name="波浪选型" sheetId="7" r:id="rId5"/>
    <sheet name="潮流" sheetId="3" r:id="rId6"/>
    <sheet name="光伏选型最新" sheetId="10" r:id="rId7"/>
    <sheet name="综合考虑" sheetId="5" r:id="rId8"/>
  </sheets>
  <externalReferences>
    <externalReference r:id="rId9"/>
  </externalReferences>
  <definedNames>
    <definedName name="_xlnm._FilterDatabase" localSheetId="5" hidden="1">潮流!$A$1:$E$10</definedName>
    <definedName name="_Hlk103191855" localSheetId="5">潮流!$N$1</definedName>
    <definedName name="_Hlk128647562" localSheetId="0">风能!$M$1</definedName>
    <definedName name="_Hlk98355620" localSheetId="5">潮流!$Q$1</definedName>
    <definedName name="_Hlk98355649" localSheetId="5">潮流!$O$1</definedName>
    <definedName name="_Hlk98358281" localSheetId="5">潮流!$H$1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7" l="1"/>
  <c r="CO3" i="6" l="1"/>
  <c r="CP3" i="6"/>
  <c r="CQ3" i="6"/>
  <c r="CR3" i="6"/>
  <c r="CS3" i="6"/>
  <c r="CT3" i="6"/>
  <c r="CU3" i="6"/>
  <c r="CV3" i="6"/>
  <c r="CO4" i="6"/>
  <c r="CP4" i="6"/>
  <c r="CQ4" i="6"/>
  <c r="CR4" i="6"/>
  <c r="CS4" i="6"/>
  <c r="CT4" i="6"/>
  <c r="CU4" i="6"/>
  <c r="CV4" i="6"/>
  <c r="CO5" i="6"/>
  <c r="CP5" i="6"/>
  <c r="CQ5" i="6"/>
  <c r="CR5" i="6"/>
  <c r="CS5" i="6"/>
  <c r="CT5" i="6"/>
  <c r="CU5" i="6"/>
  <c r="CV5" i="6"/>
  <c r="CO6" i="6"/>
  <c r="CP6" i="6"/>
  <c r="CQ6" i="6"/>
  <c r="CR6" i="6"/>
  <c r="CS6" i="6"/>
  <c r="CT6" i="6"/>
  <c r="CU6" i="6"/>
  <c r="CV6" i="6"/>
  <c r="CO7" i="6"/>
  <c r="CP7" i="6"/>
  <c r="CQ7" i="6"/>
  <c r="CR7" i="6"/>
  <c r="CS7" i="6"/>
  <c r="CT7" i="6"/>
  <c r="CU7" i="6"/>
  <c r="CV7" i="6"/>
  <c r="CO8" i="6"/>
  <c r="CP8" i="6"/>
  <c r="CQ8" i="6"/>
  <c r="CR8" i="6"/>
  <c r="CS8" i="6"/>
  <c r="CT8" i="6"/>
  <c r="CU8" i="6"/>
  <c r="CV8" i="6"/>
  <c r="CO9" i="6"/>
  <c r="CP9" i="6"/>
  <c r="CQ9" i="6"/>
  <c r="CR9" i="6"/>
  <c r="CS9" i="6"/>
  <c r="CT9" i="6"/>
  <c r="CU9" i="6"/>
  <c r="CV9" i="6"/>
  <c r="CO10" i="6"/>
  <c r="CP10" i="6"/>
  <c r="CQ10" i="6"/>
  <c r="CR10" i="6"/>
  <c r="CS10" i="6"/>
  <c r="CT10" i="6"/>
  <c r="CU10" i="6"/>
  <c r="CV10" i="6"/>
  <c r="CO11" i="6"/>
  <c r="CP11" i="6"/>
  <c r="CQ11" i="6"/>
  <c r="CR11" i="6"/>
  <c r="CS11" i="6"/>
  <c r="CT11" i="6"/>
  <c r="CU11" i="6"/>
  <c r="CV11" i="6"/>
  <c r="CP2" i="6"/>
  <c r="CQ2" i="6"/>
  <c r="CR2" i="6"/>
  <c r="CS2" i="6"/>
  <c r="CT2" i="6"/>
  <c r="CU2" i="6"/>
  <c r="CV2" i="6"/>
  <c r="CO2" i="6"/>
  <c r="CD3" i="6"/>
  <c r="CE3" i="6"/>
  <c r="CF3" i="6"/>
  <c r="CG3" i="6"/>
  <c r="CH3" i="6"/>
  <c r="CI3" i="6"/>
  <c r="CJ3" i="6"/>
  <c r="CK3" i="6"/>
  <c r="CD4" i="6"/>
  <c r="CE4" i="6"/>
  <c r="CF4" i="6"/>
  <c r="CG4" i="6"/>
  <c r="CH4" i="6"/>
  <c r="CI4" i="6"/>
  <c r="CJ4" i="6"/>
  <c r="CK4" i="6"/>
  <c r="CD5" i="6"/>
  <c r="CE5" i="6"/>
  <c r="CF5" i="6"/>
  <c r="CG5" i="6"/>
  <c r="CH5" i="6"/>
  <c r="CI5" i="6"/>
  <c r="CJ5" i="6"/>
  <c r="CK5" i="6"/>
  <c r="CD6" i="6"/>
  <c r="CE6" i="6"/>
  <c r="CF6" i="6"/>
  <c r="CG6" i="6"/>
  <c r="CH6" i="6"/>
  <c r="CI6" i="6"/>
  <c r="CJ6" i="6"/>
  <c r="CK6" i="6"/>
  <c r="CD7" i="6"/>
  <c r="CE7" i="6"/>
  <c r="CF7" i="6"/>
  <c r="CG7" i="6"/>
  <c r="CH7" i="6"/>
  <c r="CI7" i="6"/>
  <c r="CJ7" i="6"/>
  <c r="CK7" i="6"/>
  <c r="CD8" i="6"/>
  <c r="CE8" i="6"/>
  <c r="CF8" i="6"/>
  <c r="CG8" i="6"/>
  <c r="CH8" i="6"/>
  <c r="CI8" i="6"/>
  <c r="CJ8" i="6"/>
  <c r="CK8" i="6"/>
  <c r="CD9" i="6"/>
  <c r="CE9" i="6"/>
  <c r="CF9" i="6"/>
  <c r="CG9" i="6"/>
  <c r="CH9" i="6"/>
  <c r="CI9" i="6"/>
  <c r="CJ9" i="6"/>
  <c r="CK9" i="6"/>
  <c r="CD10" i="6"/>
  <c r="CE10" i="6"/>
  <c r="CF10" i="6"/>
  <c r="CG10" i="6"/>
  <c r="CH10" i="6"/>
  <c r="CI10" i="6"/>
  <c r="CJ10" i="6"/>
  <c r="CK10" i="6"/>
  <c r="CD11" i="6"/>
  <c r="CE11" i="6"/>
  <c r="CF11" i="6"/>
  <c r="CG11" i="6"/>
  <c r="CH11" i="6"/>
  <c r="CI11" i="6"/>
  <c r="CJ11" i="6"/>
  <c r="CK11" i="6"/>
  <c r="CE2" i="6"/>
  <c r="CF2" i="6"/>
  <c r="CG2" i="6"/>
  <c r="CH2" i="6"/>
  <c r="CI2" i="6"/>
  <c r="CJ2" i="6"/>
  <c r="CK2" i="6"/>
  <c r="CD2" i="6"/>
  <c r="AP3" i="6"/>
  <c r="AP4" i="6"/>
  <c r="AP5" i="6"/>
  <c r="AP6" i="6"/>
  <c r="AP7" i="6"/>
  <c r="AP8" i="6"/>
  <c r="AP9" i="6"/>
  <c r="AP10" i="6"/>
  <c r="AP11" i="6"/>
  <c r="AP2" i="6"/>
  <c r="AO3" i="6"/>
  <c r="AO4" i="6"/>
  <c r="AO5" i="6"/>
  <c r="AO6" i="6"/>
  <c r="AO7" i="6"/>
  <c r="AO8" i="6"/>
  <c r="AO9" i="6"/>
  <c r="AO10" i="6"/>
  <c r="AO11" i="6"/>
  <c r="AO2" i="6"/>
  <c r="BA3" i="10" l="1"/>
  <c r="BA4" i="10"/>
  <c r="BA5" i="10"/>
  <c r="BA6" i="10"/>
  <c r="BA7" i="10"/>
  <c r="BA8" i="10"/>
  <c r="BA9" i="10"/>
  <c r="BA10" i="10"/>
  <c r="BA11" i="10"/>
  <c r="BA2" i="10"/>
  <c r="AX3" i="10"/>
  <c r="AX4" i="10"/>
  <c r="AX5" i="10"/>
  <c r="AX6" i="10"/>
  <c r="AX7" i="10"/>
  <c r="AX8" i="10"/>
  <c r="AX9" i="10"/>
  <c r="AX10" i="10"/>
  <c r="AX11" i="10"/>
  <c r="AX2" i="10"/>
  <c r="AU3" i="10"/>
  <c r="AU4" i="10"/>
  <c r="AU5" i="10"/>
  <c r="AU6" i="10"/>
  <c r="AU7" i="10"/>
  <c r="AU8" i="10"/>
  <c r="AU9" i="10"/>
  <c r="AU10" i="10"/>
  <c r="AU11" i="10"/>
  <c r="AU2" i="10"/>
  <c r="AR3" i="10"/>
  <c r="AR4" i="10"/>
  <c r="AR5" i="10"/>
  <c r="AR6" i="10"/>
  <c r="AR7" i="10"/>
  <c r="AR8" i="10"/>
  <c r="AR9" i="10"/>
  <c r="AR10" i="10"/>
  <c r="AR11" i="10"/>
  <c r="AR2" i="10"/>
  <c r="CM2" i="7"/>
  <c r="AT22" i="10"/>
  <c r="AT23" i="10"/>
  <c r="AT24" i="10"/>
  <c r="AT25" i="10"/>
  <c r="AT26" i="10"/>
  <c r="AT27" i="10"/>
  <c r="AT28" i="10"/>
  <c r="AT29" i="10"/>
  <c r="AT30" i="10"/>
  <c r="AT21" i="10"/>
  <c r="AR22" i="10"/>
  <c r="AR23" i="10"/>
  <c r="AR24" i="10"/>
  <c r="AR25" i="10"/>
  <c r="AR26" i="10"/>
  <c r="AR27" i="10"/>
  <c r="AR28" i="10"/>
  <c r="AR29" i="10"/>
  <c r="AR30" i="10"/>
  <c r="AR21" i="10"/>
  <c r="AP22" i="10"/>
  <c r="AP23" i="10"/>
  <c r="AP24" i="10"/>
  <c r="AP25" i="10"/>
  <c r="AP26" i="10"/>
  <c r="AP27" i="10"/>
  <c r="AP28" i="10"/>
  <c r="AP29" i="10"/>
  <c r="AP30" i="10"/>
  <c r="AP21" i="10"/>
  <c r="AN22" i="10"/>
  <c r="AN23" i="10"/>
  <c r="AN24" i="10"/>
  <c r="AN25" i="10"/>
  <c r="AN26" i="10"/>
  <c r="AN27" i="10"/>
  <c r="AN28" i="10"/>
  <c r="AN29" i="10"/>
  <c r="AN30" i="10"/>
  <c r="AN21" i="10"/>
  <c r="AL22" i="10"/>
  <c r="AL23" i="10"/>
  <c r="AL24" i="10"/>
  <c r="AL25" i="10"/>
  <c r="AL26" i="10"/>
  <c r="AL27" i="10"/>
  <c r="AL28" i="10"/>
  <c r="AL29" i="10"/>
  <c r="AL30" i="10"/>
  <c r="AL21" i="10"/>
  <c r="CM3" i="7"/>
  <c r="CN3" i="7"/>
  <c r="CO3" i="7"/>
  <c r="CP3" i="7"/>
  <c r="CQ3" i="7"/>
  <c r="CR3" i="7"/>
  <c r="CS3" i="7"/>
  <c r="CT3" i="7"/>
  <c r="CU3" i="7"/>
  <c r="CM4" i="7"/>
  <c r="CN4" i="7"/>
  <c r="CO4" i="7"/>
  <c r="CP4" i="7"/>
  <c r="CQ4" i="7"/>
  <c r="CR4" i="7"/>
  <c r="CS4" i="7"/>
  <c r="CT4" i="7"/>
  <c r="CU4" i="7"/>
  <c r="CM5" i="7"/>
  <c r="CN5" i="7"/>
  <c r="CO5" i="7"/>
  <c r="CP5" i="7"/>
  <c r="CQ5" i="7"/>
  <c r="CR5" i="7"/>
  <c r="CS5" i="7"/>
  <c r="CT5" i="7"/>
  <c r="CU5" i="7"/>
  <c r="CM6" i="7"/>
  <c r="CN6" i="7"/>
  <c r="CO6" i="7"/>
  <c r="CP6" i="7"/>
  <c r="CQ6" i="7"/>
  <c r="CR6" i="7"/>
  <c r="CS6" i="7"/>
  <c r="CT6" i="7"/>
  <c r="CU6" i="7"/>
  <c r="CM7" i="7"/>
  <c r="CN7" i="7"/>
  <c r="CO7" i="7"/>
  <c r="CP7" i="7"/>
  <c r="CQ7" i="7"/>
  <c r="CR7" i="7"/>
  <c r="CS7" i="7"/>
  <c r="CT7" i="7"/>
  <c r="CU7" i="7"/>
  <c r="CM8" i="7"/>
  <c r="CN8" i="7"/>
  <c r="CO8" i="7"/>
  <c r="CP8" i="7"/>
  <c r="CQ8" i="7"/>
  <c r="CR8" i="7"/>
  <c r="CS8" i="7"/>
  <c r="CT8" i="7"/>
  <c r="CU8" i="7"/>
  <c r="CM9" i="7"/>
  <c r="CN9" i="7"/>
  <c r="CO9" i="7"/>
  <c r="CP9" i="7"/>
  <c r="CQ9" i="7"/>
  <c r="CR9" i="7"/>
  <c r="CS9" i="7"/>
  <c r="CT9" i="7"/>
  <c r="CU9" i="7"/>
  <c r="CM10" i="7"/>
  <c r="CN10" i="7"/>
  <c r="CO10" i="7"/>
  <c r="CP10" i="7"/>
  <c r="CQ10" i="7"/>
  <c r="CR10" i="7"/>
  <c r="CS10" i="7"/>
  <c r="CT10" i="7"/>
  <c r="CU10" i="7"/>
  <c r="CM11" i="7"/>
  <c r="CN11" i="7"/>
  <c r="CO11" i="7"/>
  <c r="CP11" i="7"/>
  <c r="CQ11" i="7"/>
  <c r="CR11" i="7"/>
  <c r="CS11" i="7"/>
  <c r="CT11" i="7"/>
  <c r="CU11" i="7"/>
  <c r="CN2" i="7"/>
  <c r="CO2" i="7"/>
  <c r="CP2" i="7"/>
  <c r="CQ2" i="7"/>
  <c r="CR2" i="7"/>
  <c r="CS2" i="7"/>
  <c r="CT2" i="7"/>
  <c r="CU2" i="7"/>
  <c r="AY2" i="7"/>
  <c r="AY3" i="7"/>
  <c r="AY4" i="7"/>
  <c r="AY5" i="7"/>
  <c r="AY6" i="7"/>
  <c r="AY7" i="7"/>
  <c r="AY8" i="7"/>
  <c r="AY9" i="7"/>
  <c r="AY10" i="7"/>
  <c r="AY11" i="7"/>
  <c r="CB3" i="7"/>
  <c r="CB4" i="7"/>
  <c r="CB5" i="7"/>
  <c r="CB6" i="7"/>
  <c r="CB7" i="7"/>
  <c r="CB8" i="7"/>
  <c r="CB9" i="7"/>
  <c r="CB10" i="7"/>
  <c r="CB11" i="7"/>
  <c r="CB2" i="7"/>
  <c r="AS97" i="6"/>
  <c r="AT97" i="6"/>
  <c r="AU97" i="6"/>
  <c r="AV97" i="6"/>
  <c r="AW97" i="6"/>
  <c r="AX97" i="6"/>
  <c r="AY97" i="6"/>
  <c r="AS96" i="6"/>
  <c r="AT96" i="6"/>
  <c r="AU96" i="6"/>
  <c r="AV96" i="6"/>
  <c r="AW96" i="6"/>
  <c r="AX96" i="6"/>
  <c r="AY96" i="6"/>
  <c r="AS95" i="6"/>
  <c r="AT95" i="6"/>
  <c r="AU95" i="6"/>
  <c r="AV95" i="6"/>
  <c r="AW95" i="6"/>
  <c r="AX95" i="6"/>
  <c r="AY95" i="6"/>
  <c r="AS94" i="6"/>
  <c r="AT94" i="6"/>
  <c r="AU94" i="6"/>
  <c r="AV94" i="6"/>
  <c r="AW94" i="6"/>
  <c r="AX94" i="6"/>
  <c r="AY94" i="6"/>
  <c r="AS93" i="6"/>
  <c r="AT93" i="6"/>
  <c r="AU93" i="6"/>
  <c r="AV93" i="6"/>
  <c r="AW93" i="6"/>
  <c r="AX93" i="6"/>
  <c r="AY93" i="6"/>
  <c r="AS92" i="6"/>
  <c r="AT92" i="6"/>
  <c r="AU92" i="6"/>
  <c r="AV92" i="6"/>
  <c r="AW92" i="6"/>
  <c r="AX92" i="6"/>
  <c r="AY92" i="6"/>
  <c r="AS91" i="6"/>
  <c r="AT91" i="6"/>
  <c r="AU91" i="6"/>
  <c r="AV91" i="6"/>
  <c r="AW91" i="6"/>
  <c r="AX91" i="6"/>
  <c r="AY91" i="6"/>
  <c r="AS90" i="6"/>
  <c r="AT90" i="6"/>
  <c r="AU90" i="6"/>
  <c r="AV90" i="6"/>
  <c r="AW90" i="6"/>
  <c r="AX90" i="6"/>
  <c r="AY90" i="6"/>
  <c r="AS89" i="6"/>
  <c r="AT89" i="6"/>
  <c r="AU89" i="6"/>
  <c r="AV89" i="6"/>
  <c r="AW89" i="6"/>
  <c r="AX89" i="6"/>
  <c r="AY89" i="6"/>
  <c r="AS88" i="6"/>
  <c r="AT88" i="6"/>
  <c r="AU88" i="6"/>
  <c r="AV88" i="6"/>
  <c r="AW88" i="6"/>
  <c r="AX88" i="6"/>
  <c r="AY88" i="6"/>
  <c r="AR97" i="6"/>
  <c r="AR96" i="6"/>
  <c r="AR95" i="6"/>
  <c r="AR94" i="6"/>
  <c r="AR93" i="6"/>
  <c r="AR92" i="6"/>
  <c r="AR91" i="6"/>
  <c r="AR90" i="6"/>
  <c r="AR89" i="6"/>
  <c r="AR88" i="6"/>
  <c r="Q16" i="6"/>
  <c r="Q7" i="6" s="1"/>
  <c r="Q11" i="6" l="1"/>
  <c r="Q10" i="6"/>
  <c r="Q6" i="6"/>
  <c r="Q5" i="6"/>
  <c r="AV5" i="6" s="1"/>
  <c r="Q3" i="6"/>
  <c r="Q8" i="6"/>
  <c r="Q9" i="6"/>
  <c r="Q2" i="6"/>
  <c r="Q4" i="6"/>
  <c r="AS16" i="6"/>
  <c r="AS17" i="6"/>
  <c r="AS18" i="6"/>
  <c r="AS19" i="6"/>
  <c r="AS20" i="6"/>
  <c r="AS21" i="6"/>
  <c r="AS22" i="6"/>
  <c r="AS23" i="6"/>
  <c r="AS24" i="6"/>
  <c r="AS15" i="6"/>
  <c r="AR16" i="6"/>
  <c r="AR17" i="6"/>
  <c r="AR18" i="6"/>
  <c r="AR19" i="6"/>
  <c r="AR20" i="6"/>
  <c r="AR21" i="6"/>
  <c r="AR22" i="6"/>
  <c r="AR23" i="6"/>
  <c r="AR24" i="6"/>
  <c r="AR15" i="6"/>
  <c r="AN3" i="6"/>
  <c r="AN4" i="6"/>
  <c r="AN5" i="6"/>
  <c r="AN6" i="6"/>
  <c r="AN7" i="6"/>
  <c r="AN8" i="6"/>
  <c r="AN9" i="6"/>
  <c r="AN10" i="6"/>
  <c r="AN11" i="6"/>
  <c r="AN2" i="6"/>
  <c r="AM3" i="6"/>
  <c r="AM4" i="6"/>
  <c r="AM5" i="6"/>
  <c r="AM6" i="6"/>
  <c r="AM7" i="6"/>
  <c r="AM8" i="6"/>
  <c r="AM9" i="6"/>
  <c r="AM10" i="6"/>
  <c r="AM11" i="6"/>
  <c r="AM2" i="6"/>
  <c r="AL3" i="6"/>
  <c r="AL4" i="6"/>
  <c r="AL5" i="6"/>
  <c r="AL6" i="6"/>
  <c r="AL7" i="6"/>
  <c r="AL8" i="6"/>
  <c r="AL9" i="6"/>
  <c r="AL10" i="6"/>
  <c r="AL11" i="6"/>
  <c r="AL2" i="6"/>
  <c r="AK3" i="6"/>
  <c r="AK4" i="6"/>
  <c r="AK5" i="6"/>
  <c r="AK6" i="6"/>
  <c r="AK7" i="6"/>
  <c r="AK8" i="6"/>
  <c r="AK9" i="6"/>
  <c r="AK10" i="6"/>
  <c r="AK11" i="6"/>
  <c r="AK2" i="6"/>
  <c r="AJ3" i="6"/>
  <c r="AJ4" i="6"/>
  <c r="AJ5" i="6"/>
  <c r="AJ6" i="6"/>
  <c r="AJ7" i="6"/>
  <c r="AJ8" i="6"/>
  <c r="AJ9" i="6"/>
  <c r="AJ10" i="6"/>
  <c r="AJ11" i="6"/>
  <c r="AJ2" i="6"/>
  <c r="W3" i="10"/>
  <c r="BP3" i="10" s="1"/>
  <c r="CB3" i="10" s="1"/>
  <c r="W4" i="10"/>
  <c r="AI4" i="10" s="1"/>
  <c r="W5" i="10"/>
  <c r="BP5" i="10" s="1"/>
  <c r="CB5" i="10" s="1"/>
  <c r="W6" i="10"/>
  <c r="BP6" i="10" s="1"/>
  <c r="CB6" i="10" s="1"/>
  <c r="W7" i="10"/>
  <c r="AI7" i="10" s="1"/>
  <c r="W8" i="10"/>
  <c r="AI8" i="10" s="1"/>
  <c r="W9" i="10"/>
  <c r="AI9" i="10" s="1"/>
  <c r="W10" i="10"/>
  <c r="AI10" i="10" s="1"/>
  <c r="W11" i="10"/>
  <c r="BP11" i="10" s="1"/>
  <c r="CB11" i="10" s="1"/>
  <c r="W2" i="10"/>
  <c r="AI2" i="10" s="1"/>
  <c r="V3" i="10"/>
  <c r="AH3" i="10" s="1"/>
  <c r="V4" i="10"/>
  <c r="BO4" i="10" s="1"/>
  <c r="CA4" i="10" s="1"/>
  <c r="V5" i="10"/>
  <c r="AH5" i="10" s="1"/>
  <c r="V6" i="10"/>
  <c r="BO6" i="10" s="1"/>
  <c r="CA6" i="10" s="1"/>
  <c r="V7" i="10"/>
  <c r="AH7" i="10" s="1"/>
  <c r="V8" i="10"/>
  <c r="BO8" i="10" s="1"/>
  <c r="CA8" i="10" s="1"/>
  <c r="V9" i="10"/>
  <c r="BO9" i="10" s="1"/>
  <c r="CA9" i="10" s="1"/>
  <c r="V10" i="10"/>
  <c r="BO10" i="10" s="1"/>
  <c r="CA10" i="10" s="1"/>
  <c r="V11" i="10"/>
  <c r="AH11" i="10" s="1"/>
  <c r="V2" i="10"/>
  <c r="AH2" i="10" s="1"/>
  <c r="U3" i="10"/>
  <c r="AG3" i="10" s="1"/>
  <c r="U4" i="10"/>
  <c r="BN4" i="10" s="1"/>
  <c r="BZ4" i="10" s="1"/>
  <c r="U5" i="10"/>
  <c r="BN5" i="10" s="1"/>
  <c r="BZ5" i="10" s="1"/>
  <c r="U6" i="10"/>
  <c r="AG6" i="10" s="1"/>
  <c r="U7" i="10"/>
  <c r="AG7" i="10" s="1"/>
  <c r="U8" i="10"/>
  <c r="AG8" i="10" s="1"/>
  <c r="U9" i="10"/>
  <c r="BN9" i="10" s="1"/>
  <c r="BZ9" i="10" s="1"/>
  <c r="U10" i="10"/>
  <c r="BN10" i="10" s="1"/>
  <c r="BZ10" i="10" s="1"/>
  <c r="U11" i="10"/>
  <c r="AG11" i="10" s="1"/>
  <c r="U2" i="10"/>
  <c r="AG2" i="10" s="1"/>
  <c r="T3" i="10"/>
  <c r="AF3" i="10" s="1"/>
  <c r="T4" i="10"/>
  <c r="BM4" i="10" s="1"/>
  <c r="BY4" i="10" s="1"/>
  <c r="T5" i="10"/>
  <c r="AF5" i="10" s="1"/>
  <c r="T6" i="10"/>
  <c r="T7" i="10"/>
  <c r="BM7" i="10" s="1"/>
  <c r="BY7" i="10" s="1"/>
  <c r="T8" i="10"/>
  <c r="AF8" i="10" s="1"/>
  <c r="T9" i="10"/>
  <c r="BM9" i="10" s="1"/>
  <c r="BY9" i="10" s="1"/>
  <c r="T10" i="10"/>
  <c r="AF10" i="10" s="1"/>
  <c r="T11" i="10"/>
  <c r="BM11" i="10" s="1"/>
  <c r="BY11" i="10" s="1"/>
  <c r="T2" i="10"/>
  <c r="AF2" i="10" s="1"/>
  <c r="S2" i="10"/>
  <c r="BL2" i="10" s="1"/>
  <c r="BX2" i="10" s="1"/>
  <c r="Z11" i="10"/>
  <c r="BS11" i="10" s="1"/>
  <c r="CE11" i="10" s="1"/>
  <c r="Y11" i="10"/>
  <c r="AK11" i="10" s="1"/>
  <c r="X11" i="10"/>
  <c r="BQ11" i="10" s="1"/>
  <c r="CC11" i="10" s="1"/>
  <c r="S11" i="10"/>
  <c r="BL11" i="10" s="1"/>
  <c r="BX11" i="10" s="1"/>
  <c r="R11" i="10"/>
  <c r="BK11" i="10" s="1"/>
  <c r="BW11" i="10" s="1"/>
  <c r="Q11" i="10"/>
  <c r="BJ11" i="10" s="1"/>
  <c r="BV11" i="10" s="1"/>
  <c r="Z10" i="10"/>
  <c r="AL10" i="10" s="1"/>
  <c r="Y10" i="10"/>
  <c r="BR10" i="10" s="1"/>
  <c r="CD10" i="10" s="1"/>
  <c r="X10" i="10"/>
  <c r="BQ10" i="10" s="1"/>
  <c r="CC10" i="10" s="1"/>
  <c r="S10" i="10"/>
  <c r="BL10" i="10" s="1"/>
  <c r="BX10" i="10" s="1"/>
  <c r="R10" i="10"/>
  <c r="AD10" i="10" s="1"/>
  <c r="Q10" i="10"/>
  <c r="BJ10" i="10" s="1"/>
  <c r="BV10" i="10" s="1"/>
  <c r="Z9" i="10"/>
  <c r="AL9" i="10" s="1"/>
  <c r="Y9" i="10"/>
  <c r="AK9" i="10" s="1"/>
  <c r="X9" i="10"/>
  <c r="BQ9" i="10" s="1"/>
  <c r="CC9" i="10" s="1"/>
  <c r="S9" i="10"/>
  <c r="AE9" i="10" s="1"/>
  <c r="R9" i="10"/>
  <c r="BK9" i="10" s="1"/>
  <c r="BW9" i="10" s="1"/>
  <c r="Q9" i="10"/>
  <c r="AC9" i="10" s="1"/>
  <c r="Z8" i="10"/>
  <c r="BS8" i="10" s="1"/>
  <c r="CE8" i="10" s="1"/>
  <c r="Y8" i="10"/>
  <c r="BR8" i="10" s="1"/>
  <c r="CD8" i="10" s="1"/>
  <c r="X8" i="10"/>
  <c r="AJ8" i="10" s="1"/>
  <c r="S8" i="10"/>
  <c r="AE8" i="10" s="1"/>
  <c r="R8" i="10"/>
  <c r="AD8" i="10" s="1"/>
  <c r="Q8" i="10"/>
  <c r="BJ8" i="10" s="1"/>
  <c r="BV8" i="10" s="1"/>
  <c r="BW7" i="10"/>
  <c r="Z7" i="10"/>
  <c r="AL7" i="10" s="1"/>
  <c r="Y7" i="10"/>
  <c r="AK7" i="10" s="1"/>
  <c r="X7" i="10"/>
  <c r="AJ7" i="10" s="1"/>
  <c r="S7" i="10"/>
  <c r="BL7" i="10" s="1"/>
  <c r="BX7" i="10" s="1"/>
  <c r="R7" i="10"/>
  <c r="AD7" i="10" s="1"/>
  <c r="Q7" i="10"/>
  <c r="BJ7" i="10" s="1"/>
  <c r="BV7" i="10" s="1"/>
  <c r="BM6" i="10"/>
  <c r="BY6" i="10" s="1"/>
  <c r="AF6" i="10"/>
  <c r="Z6" i="10"/>
  <c r="BS6" i="10" s="1"/>
  <c r="CE6" i="10" s="1"/>
  <c r="Y6" i="10"/>
  <c r="AK6" i="10" s="1"/>
  <c r="X6" i="10"/>
  <c r="BQ6" i="10" s="1"/>
  <c r="CC6" i="10" s="1"/>
  <c r="S6" i="10"/>
  <c r="AE6" i="10" s="1"/>
  <c r="R6" i="10"/>
  <c r="BK6" i="10" s="1"/>
  <c r="BW6" i="10" s="1"/>
  <c r="Q6" i="10"/>
  <c r="AC6" i="10" s="1"/>
  <c r="Z5" i="10"/>
  <c r="AL5" i="10" s="1"/>
  <c r="Y5" i="10"/>
  <c r="BR5" i="10" s="1"/>
  <c r="CD5" i="10" s="1"/>
  <c r="X5" i="10"/>
  <c r="BQ5" i="10" s="1"/>
  <c r="CC5" i="10" s="1"/>
  <c r="S5" i="10"/>
  <c r="BL5" i="10" s="1"/>
  <c r="BX5" i="10" s="1"/>
  <c r="R5" i="10"/>
  <c r="AD5" i="10" s="1"/>
  <c r="Q5" i="10"/>
  <c r="BJ5" i="10" s="1"/>
  <c r="BV5" i="10" s="1"/>
  <c r="Z4" i="10"/>
  <c r="AL4" i="10" s="1"/>
  <c r="Y4" i="10"/>
  <c r="AK4" i="10" s="1"/>
  <c r="X4" i="10"/>
  <c r="BQ4" i="10" s="1"/>
  <c r="CC4" i="10" s="1"/>
  <c r="S4" i="10"/>
  <c r="AE4" i="10" s="1"/>
  <c r="R4" i="10"/>
  <c r="BK4" i="10" s="1"/>
  <c r="BW4" i="10" s="1"/>
  <c r="Q4" i="10"/>
  <c r="BJ4" i="10" s="1"/>
  <c r="BV4" i="10" s="1"/>
  <c r="Z3" i="10"/>
  <c r="BS3" i="10" s="1"/>
  <c r="CE3" i="10" s="1"/>
  <c r="Y3" i="10"/>
  <c r="AK3" i="10" s="1"/>
  <c r="X3" i="10"/>
  <c r="AJ3" i="10" s="1"/>
  <c r="BN3" i="10"/>
  <c r="BZ3" i="10" s="1"/>
  <c r="S3" i="10"/>
  <c r="AE3" i="10" s="1"/>
  <c r="R3" i="10"/>
  <c r="AD3" i="10" s="1"/>
  <c r="Q3" i="10"/>
  <c r="BJ3" i="10" s="1"/>
  <c r="BV3" i="10" s="1"/>
  <c r="Z2" i="10"/>
  <c r="BS2" i="10" s="1"/>
  <c r="CE2" i="10" s="1"/>
  <c r="Y2" i="10"/>
  <c r="AK2" i="10" s="1"/>
  <c r="X2" i="10"/>
  <c r="AJ2" i="10" s="1"/>
  <c r="BO2" i="10"/>
  <c r="CA2" i="10" s="1"/>
  <c r="R2" i="10"/>
  <c r="BK2" i="10" s="1"/>
  <c r="BW2" i="10" s="1"/>
  <c r="Q2" i="10"/>
  <c r="BJ2" i="10" s="1"/>
  <c r="BV2" i="10" s="1"/>
  <c r="P16" i="6"/>
  <c r="P8" i="6" s="1"/>
  <c r="AU8" i="6" s="1"/>
  <c r="R16" i="6"/>
  <c r="R5" i="6" s="1"/>
  <c r="AW5" i="6" s="1"/>
  <c r="O16" i="6"/>
  <c r="O6" i="6" s="1"/>
  <c r="AT6" i="6" s="1"/>
  <c r="I3" i="8"/>
  <c r="I4" i="8" s="1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O22" i="9"/>
  <c r="N22" i="9"/>
  <c r="O21" i="9"/>
  <c r="N21" i="9"/>
  <c r="T20" i="9"/>
  <c r="O20" i="9"/>
  <c r="N20" i="9"/>
  <c r="T19" i="9"/>
  <c r="O19" i="9"/>
  <c r="N19" i="9"/>
  <c r="T18" i="9"/>
  <c r="S18" i="9"/>
  <c r="O18" i="9"/>
  <c r="N18" i="9"/>
  <c r="T17" i="9"/>
  <c r="S17" i="9"/>
  <c r="O17" i="9"/>
  <c r="N17" i="9"/>
  <c r="L17" i="9"/>
  <c r="T16" i="9"/>
  <c r="S16" i="9"/>
  <c r="O16" i="9"/>
  <c r="N16" i="9"/>
  <c r="M16" i="9"/>
  <c r="L16" i="9"/>
  <c r="H16" i="9"/>
  <c r="T15" i="9"/>
  <c r="S15" i="9"/>
  <c r="R15" i="9"/>
  <c r="O15" i="9"/>
  <c r="N15" i="9"/>
  <c r="M15" i="9"/>
  <c r="L15" i="9"/>
  <c r="H15" i="9"/>
  <c r="T14" i="9"/>
  <c r="S14" i="9"/>
  <c r="R14" i="9"/>
  <c r="Q14" i="9"/>
  <c r="P14" i="9"/>
  <c r="O14" i="9"/>
  <c r="N14" i="9"/>
  <c r="M14" i="9"/>
  <c r="L14" i="9"/>
  <c r="K14" i="9"/>
  <c r="J14" i="9"/>
  <c r="H14" i="9"/>
  <c r="T13" i="9"/>
  <c r="S13" i="9"/>
  <c r="R13" i="9"/>
  <c r="Q13" i="9"/>
  <c r="P13" i="9"/>
  <c r="O13" i="9"/>
  <c r="N13" i="9"/>
  <c r="M13" i="9"/>
  <c r="L13" i="9"/>
  <c r="K13" i="9"/>
  <c r="J13" i="9"/>
  <c r="H13" i="9"/>
  <c r="T12" i="9"/>
  <c r="S12" i="9"/>
  <c r="R12" i="9"/>
  <c r="Q12" i="9"/>
  <c r="P12" i="9"/>
  <c r="O12" i="9"/>
  <c r="N12" i="9"/>
  <c r="M12" i="9"/>
  <c r="L12" i="9"/>
  <c r="K12" i="9"/>
  <c r="J12" i="9"/>
  <c r="H12" i="9"/>
  <c r="T11" i="9"/>
  <c r="S11" i="9"/>
  <c r="R11" i="9"/>
  <c r="Q11" i="9"/>
  <c r="P11" i="9"/>
  <c r="O11" i="9"/>
  <c r="N11" i="9"/>
  <c r="M11" i="9"/>
  <c r="L11" i="9"/>
  <c r="K11" i="9"/>
  <c r="J11" i="9"/>
  <c r="H11" i="9"/>
  <c r="T10" i="9"/>
  <c r="S10" i="9"/>
  <c r="R10" i="9"/>
  <c r="Q10" i="9"/>
  <c r="P10" i="9"/>
  <c r="O10" i="9"/>
  <c r="N10" i="9"/>
  <c r="M10" i="9"/>
  <c r="L10" i="9"/>
  <c r="K10" i="9"/>
  <c r="J10" i="9"/>
  <c r="H10" i="9"/>
  <c r="T9" i="9"/>
  <c r="S9" i="9"/>
  <c r="R9" i="9"/>
  <c r="Q9" i="9"/>
  <c r="P9" i="9"/>
  <c r="O9" i="9"/>
  <c r="N9" i="9"/>
  <c r="M9" i="9"/>
  <c r="L9" i="9"/>
  <c r="K9" i="9"/>
  <c r="J9" i="9"/>
  <c r="H9" i="9"/>
  <c r="T8" i="9"/>
  <c r="S8" i="9"/>
  <c r="R8" i="9"/>
  <c r="Q8" i="9"/>
  <c r="P8" i="9"/>
  <c r="O8" i="9"/>
  <c r="N8" i="9"/>
  <c r="M8" i="9"/>
  <c r="L8" i="9"/>
  <c r="K8" i="9"/>
  <c r="J8" i="9"/>
  <c r="H8" i="9"/>
  <c r="T7" i="9"/>
  <c r="S7" i="9"/>
  <c r="R7" i="9"/>
  <c r="Q7" i="9"/>
  <c r="P7" i="9"/>
  <c r="O7" i="9"/>
  <c r="N7" i="9"/>
  <c r="M7" i="9"/>
  <c r="L7" i="9"/>
  <c r="K7" i="9"/>
  <c r="J7" i="9"/>
  <c r="H7" i="9"/>
  <c r="T6" i="9"/>
  <c r="S6" i="9"/>
  <c r="R6" i="9"/>
  <c r="Q6" i="9"/>
  <c r="P6" i="9"/>
  <c r="O6" i="9"/>
  <c r="N6" i="9"/>
  <c r="L6" i="9"/>
  <c r="K6" i="9"/>
  <c r="J6" i="9"/>
  <c r="H6" i="9"/>
  <c r="T5" i="9"/>
  <c r="S5" i="9"/>
  <c r="R5" i="9"/>
  <c r="Q5" i="9"/>
  <c r="P5" i="9"/>
  <c r="O5" i="9"/>
  <c r="N5" i="9"/>
  <c r="K5" i="9"/>
  <c r="J5" i="9"/>
  <c r="R5" i="8"/>
  <c r="R6" i="8"/>
  <c r="R7" i="8"/>
  <c r="R8" i="8"/>
  <c r="R9" i="8"/>
  <c r="R10" i="8"/>
  <c r="R11" i="8"/>
  <c r="R12" i="8"/>
  <c r="R13" i="8"/>
  <c r="R14" i="8"/>
  <c r="R4" i="8"/>
  <c r="Q5" i="8"/>
  <c r="Q6" i="8"/>
  <c r="Q7" i="8"/>
  <c r="Q8" i="8"/>
  <c r="Q9" i="8"/>
  <c r="Q10" i="8"/>
  <c r="Q11" i="8"/>
  <c r="Q12" i="8"/>
  <c r="Q13" i="8"/>
  <c r="Q4" i="8"/>
  <c r="K4" i="8"/>
  <c r="P5" i="8"/>
  <c r="P6" i="8"/>
  <c r="P7" i="8"/>
  <c r="P8" i="8"/>
  <c r="P9" i="8"/>
  <c r="P10" i="8"/>
  <c r="P11" i="8"/>
  <c r="P4" i="8"/>
  <c r="O5" i="8"/>
  <c r="O6" i="8"/>
  <c r="O7" i="8"/>
  <c r="O8" i="8"/>
  <c r="O9" i="8"/>
  <c r="O10" i="8"/>
  <c r="O11" i="8"/>
  <c r="O12" i="8"/>
  <c r="O13" i="8"/>
  <c r="O14" i="8"/>
  <c r="O15" i="8"/>
  <c r="O4" i="8"/>
  <c r="N5" i="8"/>
  <c r="N6" i="8"/>
  <c r="N7" i="8"/>
  <c r="N8" i="8"/>
  <c r="N9" i="8"/>
  <c r="N10" i="8"/>
  <c r="N11" i="8"/>
  <c r="N12" i="8"/>
  <c r="M5" i="8"/>
  <c r="M6" i="8"/>
  <c r="M7" i="8"/>
  <c r="M8" i="8"/>
  <c r="M9" i="8"/>
  <c r="M10" i="8"/>
  <c r="M11" i="8"/>
  <c r="M12" i="8"/>
  <c r="L4" i="8"/>
  <c r="L5" i="8"/>
  <c r="L6" i="8"/>
  <c r="L7" i="8"/>
  <c r="L8" i="8"/>
  <c r="L9" i="8"/>
  <c r="L10" i="8"/>
  <c r="L11" i="8"/>
  <c r="K5" i="8"/>
  <c r="K6" i="8"/>
  <c r="K7" i="8"/>
  <c r="K8" i="8"/>
  <c r="K9" i="8"/>
  <c r="K10" i="8"/>
  <c r="K11" i="8"/>
  <c r="H9" i="8"/>
  <c r="H7" i="8"/>
  <c r="H8" i="8"/>
  <c r="H10" i="8"/>
  <c r="H11" i="8"/>
  <c r="H12" i="8"/>
  <c r="H13" i="8"/>
  <c r="H14" i="8"/>
  <c r="H15" i="8"/>
  <c r="H16" i="8"/>
  <c r="H6" i="8"/>
  <c r="AI3" i="6"/>
  <c r="AI4" i="6"/>
  <c r="AI5" i="6"/>
  <c r="AI6" i="6"/>
  <c r="AI7" i="6"/>
  <c r="AI8" i="6"/>
  <c r="AI9" i="6"/>
  <c r="AI10" i="6"/>
  <c r="AI11" i="6"/>
  <c r="AI2" i="6"/>
  <c r="R3" i="5"/>
  <c r="R2" i="5"/>
  <c r="AZ11" i="7"/>
  <c r="AL11" i="7"/>
  <c r="AK11" i="7"/>
  <c r="AJ11" i="7"/>
  <c r="AI11" i="7"/>
  <c r="AH11" i="7"/>
  <c r="AG11" i="7"/>
  <c r="AF11" i="7"/>
  <c r="AE11" i="7"/>
  <c r="AD11" i="7"/>
  <c r="Y11" i="7"/>
  <c r="AW11" i="7" s="1"/>
  <c r="W11" i="7"/>
  <c r="BV11" i="7" s="1"/>
  <c r="V11" i="7"/>
  <c r="AU11" i="7" s="1"/>
  <c r="U11" i="7"/>
  <c r="BT11" i="7" s="1"/>
  <c r="T11" i="7"/>
  <c r="BS11" i="7" s="1"/>
  <c r="S11" i="7"/>
  <c r="BR11" i="7" s="1"/>
  <c r="R11" i="7"/>
  <c r="AQ11" i="7" s="1"/>
  <c r="Q11" i="7"/>
  <c r="BP11" i="7" s="1"/>
  <c r="P11" i="7"/>
  <c r="BO11" i="7" s="1"/>
  <c r="AZ10" i="7"/>
  <c r="AL10" i="7"/>
  <c r="AK10" i="7"/>
  <c r="AJ10" i="7"/>
  <c r="AI10" i="7"/>
  <c r="AH10" i="7"/>
  <c r="AG10" i="7"/>
  <c r="AF10" i="7"/>
  <c r="AE10" i="7"/>
  <c r="AD10" i="7"/>
  <c r="Y10" i="7"/>
  <c r="AW10" i="7" s="1"/>
  <c r="W10" i="7"/>
  <c r="AV10" i="7" s="1"/>
  <c r="V10" i="7"/>
  <c r="AU10" i="7" s="1"/>
  <c r="U10" i="7"/>
  <c r="BT10" i="7" s="1"/>
  <c r="T10" i="7"/>
  <c r="AS10" i="7" s="1"/>
  <c r="S10" i="7"/>
  <c r="BR10" i="7" s="1"/>
  <c r="R10" i="7"/>
  <c r="BQ10" i="7" s="1"/>
  <c r="Q10" i="7"/>
  <c r="BP10" i="7" s="1"/>
  <c r="P10" i="7"/>
  <c r="BO10" i="7" s="1"/>
  <c r="AZ9" i="7"/>
  <c r="AL9" i="7"/>
  <c r="AK9" i="7"/>
  <c r="AJ9" i="7"/>
  <c r="AI9" i="7"/>
  <c r="AH9" i="7"/>
  <c r="AG9" i="7"/>
  <c r="AF9" i="7"/>
  <c r="AE9" i="7"/>
  <c r="AD9" i="7"/>
  <c r="Y9" i="7"/>
  <c r="AW9" i="7" s="1"/>
  <c r="W9" i="7"/>
  <c r="AV9" i="7" s="1"/>
  <c r="V9" i="7"/>
  <c r="AU9" i="7" s="1"/>
  <c r="U9" i="7"/>
  <c r="AT9" i="7" s="1"/>
  <c r="T9" i="7"/>
  <c r="AS9" i="7" s="1"/>
  <c r="S9" i="7"/>
  <c r="BR9" i="7" s="1"/>
  <c r="R9" i="7"/>
  <c r="AQ9" i="7" s="1"/>
  <c r="Q9" i="7"/>
  <c r="AP9" i="7" s="1"/>
  <c r="P9" i="7"/>
  <c r="BO9" i="7" s="1"/>
  <c r="AZ8" i="7"/>
  <c r="AL8" i="7"/>
  <c r="AK8" i="7"/>
  <c r="AJ8" i="7"/>
  <c r="AI8" i="7"/>
  <c r="AH8" i="7"/>
  <c r="AG8" i="7"/>
  <c r="AF8" i="7"/>
  <c r="AE8" i="7"/>
  <c r="AD8" i="7"/>
  <c r="Y8" i="7"/>
  <c r="AW8" i="7" s="1"/>
  <c r="W8" i="7"/>
  <c r="AV8" i="7" s="1"/>
  <c r="V8" i="7"/>
  <c r="BU8" i="7" s="1"/>
  <c r="U8" i="7"/>
  <c r="AT8" i="7" s="1"/>
  <c r="T8" i="7"/>
  <c r="AS8" i="7" s="1"/>
  <c r="S8" i="7"/>
  <c r="AR8" i="7" s="1"/>
  <c r="R8" i="7"/>
  <c r="AQ8" i="7" s="1"/>
  <c r="Q8" i="7"/>
  <c r="AP8" i="7" s="1"/>
  <c r="P8" i="7"/>
  <c r="AO8" i="7" s="1"/>
  <c r="AZ7" i="7"/>
  <c r="AL7" i="7"/>
  <c r="AK7" i="7"/>
  <c r="AJ7" i="7"/>
  <c r="AI7" i="7"/>
  <c r="AH7" i="7"/>
  <c r="AG7" i="7"/>
  <c r="AF7" i="7"/>
  <c r="AE7" i="7"/>
  <c r="AD7" i="7"/>
  <c r="Y7" i="7"/>
  <c r="AW7" i="7" s="1"/>
  <c r="W7" i="7"/>
  <c r="BV7" i="7" s="1"/>
  <c r="V7" i="7"/>
  <c r="AU7" i="7" s="1"/>
  <c r="U7" i="7"/>
  <c r="AT7" i="7" s="1"/>
  <c r="T7" i="7"/>
  <c r="BS7" i="7" s="1"/>
  <c r="S7" i="7"/>
  <c r="AR7" i="7" s="1"/>
  <c r="R7" i="7"/>
  <c r="AQ7" i="7" s="1"/>
  <c r="Q7" i="7"/>
  <c r="AP7" i="7" s="1"/>
  <c r="P7" i="7"/>
  <c r="BO7" i="7" s="1"/>
  <c r="AZ6" i="7"/>
  <c r="AL6" i="7"/>
  <c r="AK6" i="7"/>
  <c r="AJ6" i="7"/>
  <c r="AI6" i="7"/>
  <c r="AH6" i="7"/>
  <c r="AG6" i="7"/>
  <c r="AF6" i="7"/>
  <c r="AE6" i="7"/>
  <c r="AD6" i="7"/>
  <c r="Y6" i="7"/>
  <c r="AW6" i="7" s="1"/>
  <c r="W6" i="7"/>
  <c r="BV6" i="7" s="1"/>
  <c r="V6" i="7"/>
  <c r="AU6" i="7" s="1"/>
  <c r="U6" i="7"/>
  <c r="BT6" i="7" s="1"/>
  <c r="T6" i="7"/>
  <c r="BS6" i="7" s="1"/>
  <c r="S6" i="7"/>
  <c r="AR6" i="7" s="1"/>
  <c r="R6" i="7"/>
  <c r="BQ6" i="7" s="1"/>
  <c r="Q6" i="7"/>
  <c r="AP6" i="7" s="1"/>
  <c r="P6" i="7"/>
  <c r="AO6" i="7" s="1"/>
  <c r="AZ5" i="7"/>
  <c r="AL5" i="7"/>
  <c r="AK5" i="7"/>
  <c r="AJ5" i="7"/>
  <c r="AI5" i="7"/>
  <c r="AH5" i="7"/>
  <c r="AG5" i="7"/>
  <c r="AF5" i="7"/>
  <c r="AE5" i="7"/>
  <c r="AD5" i="7"/>
  <c r="Y5" i="7"/>
  <c r="AW5" i="7" s="1"/>
  <c r="W5" i="7"/>
  <c r="BV5" i="7" s="1"/>
  <c r="V5" i="7"/>
  <c r="AU5" i="7" s="1"/>
  <c r="U5" i="7"/>
  <c r="BT5" i="7" s="1"/>
  <c r="T5" i="7"/>
  <c r="AS5" i="7" s="1"/>
  <c r="S5" i="7"/>
  <c r="BR5" i="7" s="1"/>
  <c r="R5" i="7"/>
  <c r="BQ5" i="7" s="1"/>
  <c r="AP5" i="7"/>
  <c r="P5" i="7"/>
  <c r="BO5" i="7" s="1"/>
  <c r="AZ4" i="7"/>
  <c r="AL4" i="7"/>
  <c r="AK4" i="7"/>
  <c r="AJ4" i="7"/>
  <c r="AI4" i="7"/>
  <c r="AH4" i="7"/>
  <c r="AG4" i="7"/>
  <c r="AF4" i="7"/>
  <c r="AE4" i="7"/>
  <c r="AD4" i="7"/>
  <c r="Y4" i="7"/>
  <c r="AW4" i="7" s="1"/>
  <c r="W4" i="7"/>
  <c r="AV4" i="7" s="1"/>
  <c r="V4" i="7"/>
  <c r="AU4" i="7" s="1"/>
  <c r="U4" i="7"/>
  <c r="AT4" i="7" s="1"/>
  <c r="T4" i="7"/>
  <c r="BS4" i="7" s="1"/>
  <c r="S4" i="7"/>
  <c r="BR4" i="7" s="1"/>
  <c r="R4" i="7"/>
  <c r="BQ4" i="7" s="1"/>
  <c r="Q4" i="7"/>
  <c r="BP4" i="7" s="1"/>
  <c r="P4" i="7"/>
  <c r="BO4" i="7" s="1"/>
  <c r="AZ3" i="7"/>
  <c r="AL3" i="7"/>
  <c r="AK3" i="7"/>
  <c r="AJ3" i="7"/>
  <c r="AI3" i="7"/>
  <c r="AH3" i="7"/>
  <c r="AG3" i="7"/>
  <c r="AF3" i="7"/>
  <c r="AE3" i="7"/>
  <c r="AD3" i="7"/>
  <c r="Y3" i="7"/>
  <c r="AW3" i="7" s="1"/>
  <c r="W3" i="7"/>
  <c r="AV3" i="7" s="1"/>
  <c r="V3" i="7"/>
  <c r="AU3" i="7" s="1"/>
  <c r="U3" i="7"/>
  <c r="AT3" i="7" s="1"/>
  <c r="T3" i="7"/>
  <c r="BS3" i="7" s="1"/>
  <c r="S3" i="7"/>
  <c r="BR3" i="7" s="1"/>
  <c r="R3" i="7"/>
  <c r="AQ3" i="7" s="1"/>
  <c r="Q3" i="7"/>
  <c r="BP3" i="7" s="1"/>
  <c r="P3" i="7"/>
  <c r="AO3" i="7" s="1"/>
  <c r="AZ2" i="7"/>
  <c r="AL2" i="7"/>
  <c r="AK2" i="7"/>
  <c r="AJ2" i="7"/>
  <c r="AI2" i="7"/>
  <c r="AH2" i="7"/>
  <c r="AG2" i="7"/>
  <c r="AF2" i="7"/>
  <c r="AE2" i="7"/>
  <c r="AD2" i="7"/>
  <c r="Y2" i="7"/>
  <c r="AW2" i="7" s="1"/>
  <c r="W2" i="7"/>
  <c r="AV2" i="7" s="1"/>
  <c r="V2" i="7"/>
  <c r="BU2" i="7" s="1"/>
  <c r="U2" i="7"/>
  <c r="AT2" i="7" s="1"/>
  <c r="T2" i="7"/>
  <c r="AS2" i="7" s="1"/>
  <c r="S2" i="7"/>
  <c r="AR2" i="7" s="1"/>
  <c r="R2" i="7"/>
  <c r="AQ2" i="7" s="1"/>
  <c r="Q2" i="7"/>
  <c r="BP2" i="7" s="1"/>
  <c r="P2" i="7"/>
  <c r="BO2" i="7" s="1"/>
  <c r="AM11" i="3"/>
  <c r="AN11" i="3"/>
  <c r="AO11" i="3"/>
  <c r="AP11" i="3"/>
  <c r="AQ11" i="3"/>
  <c r="AR11" i="3"/>
  <c r="AS11" i="3"/>
  <c r="AT11" i="3"/>
  <c r="AU11" i="3"/>
  <c r="AV11" i="3"/>
  <c r="AW11" i="3"/>
  <c r="AX11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M9" i="3"/>
  <c r="AN9" i="3"/>
  <c r="AO9" i="3"/>
  <c r="AP9" i="3"/>
  <c r="AQ9" i="3"/>
  <c r="AR9" i="3"/>
  <c r="AS9" i="3"/>
  <c r="AT9" i="3"/>
  <c r="AU9" i="3"/>
  <c r="AV9" i="3"/>
  <c r="AW9" i="3"/>
  <c r="AX9" i="3"/>
  <c r="AM8" i="3"/>
  <c r="AN8" i="3"/>
  <c r="AO8" i="3"/>
  <c r="AP8" i="3"/>
  <c r="AQ8" i="3"/>
  <c r="AR8" i="3"/>
  <c r="AS8" i="3"/>
  <c r="AT8" i="3"/>
  <c r="AU8" i="3"/>
  <c r="AV8" i="3"/>
  <c r="AW8" i="3"/>
  <c r="AX8" i="3"/>
  <c r="AM7" i="3"/>
  <c r="AN7" i="3"/>
  <c r="AO7" i="3"/>
  <c r="AP7" i="3"/>
  <c r="AQ7" i="3"/>
  <c r="AR7" i="3"/>
  <c r="AS7" i="3"/>
  <c r="AT7" i="3"/>
  <c r="AU7" i="3"/>
  <c r="AV7" i="3"/>
  <c r="AW7" i="3"/>
  <c r="AX7" i="3"/>
  <c r="AM6" i="3"/>
  <c r="AN6" i="3"/>
  <c r="AO6" i="3"/>
  <c r="AP6" i="3"/>
  <c r="AQ6" i="3"/>
  <c r="AR6" i="3"/>
  <c r="AS6" i="3"/>
  <c r="AT6" i="3"/>
  <c r="AU6" i="3"/>
  <c r="AV6" i="3"/>
  <c r="AW6" i="3"/>
  <c r="AX6" i="3"/>
  <c r="AM5" i="3"/>
  <c r="AN5" i="3"/>
  <c r="AO5" i="3"/>
  <c r="AP5" i="3"/>
  <c r="AQ5" i="3"/>
  <c r="AR5" i="3"/>
  <c r="AS5" i="3"/>
  <c r="AT5" i="3"/>
  <c r="AU5" i="3"/>
  <c r="AV5" i="3"/>
  <c r="AW5" i="3"/>
  <c r="AX5" i="3"/>
  <c r="AM4" i="3"/>
  <c r="AN4" i="3"/>
  <c r="AO4" i="3"/>
  <c r="AP4" i="3"/>
  <c r="AQ4" i="3"/>
  <c r="AR4" i="3"/>
  <c r="AS4" i="3"/>
  <c r="AT4" i="3"/>
  <c r="AU4" i="3"/>
  <c r="AV4" i="3"/>
  <c r="AW4" i="3"/>
  <c r="AX4" i="3"/>
  <c r="AM3" i="3"/>
  <c r="AN3" i="3"/>
  <c r="AO3" i="3"/>
  <c r="AP3" i="3"/>
  <c r="AQ3" i="3"/>
  <c r="AR3" i="3"/>
  <c r="AS3" i="3"/>
  <c r="AT3" i="3"/>
  <c r="AU3" i="3"/>
  <c r="AV3" i="3"/>
  <c r="AW3" i="3"/>
  <c r="AX3" i="3"/>
  <c r="AM2" i="3"/>
  <c r="AN2" i="3"/>
  <c r="AO2" i="3"/>
  <c r="AP2" i="3"/>
  <c r="AQ2" i="3"/>
  <c r="AR2" i="3"/>
  <c r="AS2" i="3"/>
  <c r="AT2" i="3"/>
  <c r="AU2" i="3"/>
  <c r="AV2" i="3"/>
  <c r="AW2" i="3"/>
  <c r="AX2" i="3"/>
  <c r="AL3" i="3"/>
  <c r="AL4" i="3"/>
  <c r="AL5" i="3"/>
  <c r="AL6" i="3"/>
  <c r="AL7" i="3"/>
  <c r="AL8" i="3"/>
  <c r="AL9" i="3"/>
  <c r="AL10" i="3"/>
  <c r="AL11" i="3"/>
  <c r="AL2" i="3"/>
  <c r="AM11" i="1"/>
  <c r="AN11" i="1"/>
  <c r="AO11" i="1"/>
  <c r="AP11" i="1"/>
  <c r="AQ11" i="1"/>
  <c r="AR11" i="1"/>
  <c r="AS11" i="1"/>
  <c r="AT11" i="1"/>
  <c r="AU11" i="1"/>
  <c r="AV11" i="1"/>
  <c r="AM10" i="1"/>
  <c r="AN10" i="1"/>
  <c r="AO10" i="1"/>
  <c r="AP10" i="1"/>
  <c r="AQ10" i="1"/>
  <c r="AR10" i="1"/>
  <c r="AS10" i="1"/>
  <c r="AT10" i="1"/>
  <c r="AU10" i="1"/>
  <c r="AV10" i="1"/>
  <c r="AM9" i="1"/>
  <c r="AN9" i="1"/>
  <c r="AO9" i="1"/>
  <c r="AP9" i="1"/>
  <c r="AQ9" i="1"/>
  <c r="AR9" i="1"/>
  <c r="AS9" i="1"/>
  <c r="AT9" i="1"/>
  <c r="AU9" i="1"/>
  <c r="AV9" i="1"/>
  <c r="AM8" i="1"/>
  <c r="AN8" i="1"/>
  <c r="AO8" i="1"/>
  <c r="AP8" i="1"/>
  <c r="AQ8" i="1"/>
  <c r="AR8" i="1"/>
  <c r="AS8" i="1"/>
  <c r="AT8" i="1"/>
  <c r="AU8" i="1"/>
  <c r="AV8" i="1"/>
  <c r="AM7" i="1"/>
  <c r="AN7" i="1"/>
  <c r="AO7" i="1"/>
  <c r="AP7" i="1"/>
  <c r="AQ7" i="1"/>
  <c r="AR7" i="1"/>
  <c r="AS7" i="1"/>
  <c r="AT7" i="1"/>
  <c r="AU7" i="1"/>
  <c r="AV7" i="1"/>
  <c r="AM6" i="1"/>
  <c r="AN6" i="1"/>
  <c r="AO6" i="1"/>
  <c r="AP6" i="1"/>
  <c r="AQ6" i="1"/>
  <c r="AR6" i="1"/>
  <c r="AS6" i="1"/>
  <c r="AT6" i="1"/>
  <c r="AU6" i="1"/>
  <c r="AV6" i="1"/>
  <c r="AM5" i="1"/>
  <c r="AN5" i="1"/>
  <c r="AO5" i="1"/>
  <c r="AP5" i="1"/>
  <c r="AQ5" i="1"/>
  <c r="AR5" i="1"/>
  <c r="AS5" i="1"/>
  <c r="AT5" i="1"/>
  <c r="AU5" i="1"/>
  <c r="AV5" i="1"/>
  <c r="AM4" i="1"/>
  <c r="AN4" i="1"/>
  <c r="AO4" i="1"/>
  <c r="AP4" i="1"/>
  <c r="AQ4" i="1"/>
  <c r="AR4" i="1"/>
  <c r="AS4" i="1"/>
  <c r="AT4" i="1"/>
  <c r="AU4" i="1"/>
  <c r="AV4" i="1"/>
  <c r="AM3" i="1"/>
  <c r="AN3" i="1"/>
  <c r="AO3" i="1"/>
  <c r="AP3" i="1"/>
  <c r="AQ3" i="1"/>
  <c r="AR3" i="1"/>
  <c r="AS3" i="1"/>
  <c r="AT3" i="1"/>
  <c r="AU3" i="1"/>
  <c r="AV3" i="1"/>
  <c r="AM2" i="1"/>
  <c r="AN2" i="1"/>
  <c r="AO2" i="1"/>
  <c r="AP2" i="1"/>
  <c r="AQ2" i="1"/>
  <c r="AR2" i="1"/>
  <c r="AS2" i="1"/>
  <c r="AT2" i="1"/>
  <c r="AU2" i="1"/>
  <c r="AV2" i="1"/>
  <c r="AL3" i="1"/>
  <c r="AL4" i="1"/>
  <c r="AL5" i="1"/>
  <c r="AL6" i="1"/>
  <c r="AL7" i="1"/>
  <c r="AL8" i="1"/>
  <c r="AL9" i="1"/>
  <c r="AL10" i="1"/>
  <c r="AL11" i="1"/>
  <c r="AL2" i="1"/>
  <c r="H2" i="3"/>
  <c r="H6" i="3"/>
  <c r="Y2" i="1"/>
  <c r="N31" i="3"/>
  <c r="I31" i="3"/>
  <c r="J31" i="3"/>
  <c r="K31" i="3"/>
  <c r="L31" i="3"/>
  <c r="M31" i="3"/>
  <c r="O31" i="3"/>
  <c r="P31" i="3"/>
  <c r="Q31" i="3"/>
  <c r="R31" i="3"/>
  <c r="S31" i="3"/>
  <c r="T31" i="3"/>
  <c r="H31" i="3"/>
  <c r="H17" i="3"/>
  <c r="W10" i="3" s="1"/>
  <c r="X10" i="3"/>
  <c r="I10" i="3"/>
  <c r="J10" i="3"/>
  <c r="K10" i="3"/>
  <c r="L10" i="3"/>
  <c r="M10" i="3"/>
  <c r="N10" i="3"/>
  <c r="O10" i="3"/>
  <c r="P10" i="3"/>
  <c r="Q10" i="3"/>
  <c r="R10" i="3"/>
  <c r="S10" i="3"/>
  <c r="T10" i="3"/>
  <c r="X11" i="3"/>
  <c r="Y11" i="3"/>
  <c r="Z11" i="3"/>
  <c r="AA11" i="3"/>
  <c r="AB11" i="3"/>
  <c r="AC11" i="3"/>
  <c r="AD11" i="3"/>
  <c r="AE11" i="3"/>
  <c r="AF11" i="3"/>
  <c r="AG11" i="3"/>
  <c r="AH11" i="3"/>
  <c r="AI11" i="3"/>
  <c r="Y10" i="3"/>
  <c r="Z10" i="3"/>
  <c r="AA10" i="3"/>
  <c r="AB10" i="3"/>
  <c r="AC10" i="3"/>
  <c r="AD10" i="3"/>
  <c r="AE10" i="3"/>
  <c r="AF10" i="3"/>
  <c r="AG10" i="3"/>
  <c r="AH10" i="3"/>
  <c r="AI10" i="3"/>
  <c r="X9" i="3"/>
  <c r="Y9" i="3"/>
  <c r="Z9" i="3"/>
  <c r="AA9" i="3"/>
  <c r="AB9" i="3"/>
  <c r="AC9" i="3"/>
  <c r="AD9" i="3"/>
  <c r="AE9" i="3"/>
  <c r="AF9" i="3"/>
  <c r="AG9" i="3"/>
  <c r="AH9" i="3"/>
  <c r="AI9" i="3"/>
  <c r="X8" i="3"/>
  <c r="Y8" i="3"/>
  <c r="Z8" i="3"/>
  <c r="AA8" i="3"/>
  <c r="AB8" i="3"/>
  <c r="AC8" i="3"/>
  <c r="AD8" i="3"/>
  <c r="AE8" i="3"/>
  <c r="AF8" i="3"/>
  <c r="AG8" i="3"/>
  <c r="AH8" i="3"/>
  <c r="AI8" i="3"/>
  <c r="X7" i="3"/>
  <c r="Y7" i="3"/>
  <c r="Z7" i="3"/>
  <c r="AA7" i="3"/>
  <c r="AB7" i="3"/>
  <c r="AC7" i="3"/>
  <c r="AD7" i="3"/>
  <c r="AE7" i="3"/>
  <c r="AF7" i="3"/>
  <c r="AG7" i="3"/>
  <c r="AH7" i="3"/>
  <c r="AI7" i="3"/>
  <c r="X6" i="3"/>
  <c r="Y6" i="3"/>
  <c r="Z6" i="3"/>
  <c r="AA6" i="3"/>
  <c r="AB6" i="3"/>
  <c r="AC6" i="3"/>
  <c r="AD6" i="3"/>
  <c r="AE6" i="3"/>
  <c r="AF6" i="3"/>
  <c r="AG6" i="3"/>
  <c r="AH6" i="3"/>
  <c r="AI6" i="3"/>
  <c r="X5" i="3"/>
  <c r="Y5" i="3"/>
  <c r="Z5" i="3"/>
  <c r="AA5" i="3"/>
  <c r="AB5" i="3"/>
  <c r="AC5" i="3"/>
  <c r="AD5" i="3"/>
  <c r="AE5" i="3"/>
  <c r="AF5" i="3"/>
  <c r="AG5" i="3"/>
  <c r="AH5" i="3"/>
  <c r="AI5" i="3"/>
  <c r="AF4" i="3"/>
  <c r="AG4" i="3"/>
  <c r="AH4" i="3"/>
  <c r="AI4" i="3"/>
  <c r="X3" i="3"/>
  <c r="AF3" i="3"/>
  <c r="AG3" i="3"/>
  <c r="AH3" i="3"/>
  <c r="AI3" i="3"/>
  <c r="X2" i="3"/>
  <c r="Y2" i="3"/>
  <c r="Z2" i="3"/>
  <c r="AF2" i="3"/>
  <c r="AG2" i="3"/>
  <c r="AH2" i="3"/>
  <c r="I11" i="3"/>
  <c r="J11" i="3"/>
  <c r="K11" i="3"/>
  <c r="Q11" i="3"/>
  <c r="R11" i="3"/>
  <c r="S11" i="3"/>
  <c r="I9" i="3"/>
  <c r="J9" i="3"/>
  <c r="K9" i="3"/>
  <c r="Q9" i="3"/>
  <c r="R9" i="3"/>
  <c r="S9" i="3"/>
  <c r="I8" i="3"/>
  <c r="J8" i="3"/>
  <c r="K8" i="3"/>
  <c r="Q8" i="3"/>
  <c r="R8" i="3"/>
  <c r="S8" i="3"/>
  <c r="I7" i="3"/>
  <c r="J7" i="3"/>
  <c r="K7" i="3"/>
  <c r="Q7" i="3"/>
  <c r="R7" i="3"/>
  <c r="S7" i="3"/>
  <c r="T7" i="3"/>
  <c r="I6" i="3"/>
  <c r="J6" i="3"/>
  <c r="K6" i="3"/>
  <c r="Q6" i="3"/>
  <c r="R6" i="3"/>
  <c r="S6" i="3"/>
  <c r="T6" i="3"/>
  <c r="T5" i="3"/>
  <c r="I5" i="3"/>
  <c r="J5" i="3"/>
  <c r="Q5" i="3"/>
  <c r="R5" i="3"/>
  <c r="S5" i="3"/>
  <c r="N5" i="1"/>
  <c r="M4" i="1"/>
  <c r="L4" i="1"/>
  <c r="L3" i="1"/>
  <c r="L2" i="1"/>
  <c r="L10" i="1"/>
  <c r="L11" i="1"/>
  <c r="T4" i="3"/>
  <c r="M4" i="3"/>
  <c r="Q4" i="3"/>
  <c r="R4" i="3"/>
  <c r="S4" i="3"/>
  <c r="I3" i="3"/>
  <c r="Q3" i="3"/>
  <c r="R3" i="3"/>
  <c r="S3" i="3"/>
  <c r="I2" i="3"/>
  <c r="L2" i="3"/>
  <c r="Q2" i="3"/>
  <c r="R2" i="3"/>
  <c r="S2" i="3"/>
  <c r="T17" i="3"/>
  <c r="T3" i="3" s="1"/>
  <c r="M17" i="3"/>
  <c r="AB2" i="3" s="1"/>
  <c r="L17" i="3"/>
  <c r="AA2" i="3" s="1"/>
  <c r="J17" i="3"/>
  <c r="Y4" i="3" s="1"/>
  <c r="K17" i="3"/>
  <c r="K5" i="3" s="1"/>
  <c r="N17" i="3"/>
  <c r="AC2" i="3" s="1"/>
  <c r="O17" i="3"/>
  <c r="O5" i="3" s="1"/>
  <c r="P17" i="3"/>
  <c r="P9" i="3" s="1"/>
  <c r="Q17" i="3"/>
  <c r="R17" i="3"/>
  <c r="S17" i="3"/>
  <c r="I17" i="3"/>
  <c r="X4" i="3" s="1"/>
  <c r="T16" i="6"/>
  <c r="T11" i="6" s="1"/>
  <c r="CA11" i="6" s="1"/>
  <c r="S16" i="6"/>
  <c r="S11" i="6" s="1"/>
  <c r="AX11" i="6" s="1"/>
  <c r="N16" i="6"/>
  <c r="N7" i="6" s="1"/>
  <c r="AS7" i="6" s="1"/>
  <c r="M16" i="6"/>
  <c r="X8" i="6" s="1"/>
  <c r="BA8" i="6" s="1"/>
  <c r="Z11" i="1"/>
  <c r="AA11" i="1"/>
  <c r="AB11" i="1"/>
  <c r="AC11" i="1"/>
  <c r="AD11" i="1"/>
  <c r="AE11" i="1"/>
  <c r="AF11" i="1"/>
  <c r="AG11" i="1"/>
  <c r="AH11" i="1"/>
  <c r="AI11" i="1"/>
  <c r="Z10" i="1"/>
  <c r="AA10" i="1"/>
  <c r="AB10" i="1"/>
  <c r="AC10" i="1"/>
  <c r="AD10" i="1"/>
  <c r="AE10" i="1"/>
  <c r="AF10" i="1"/>
  <c r="AG10" i="1"/>
  <c r="AH10" i="1"/>
  <c r="AI10" i="1"/>
  <c r="Z9" i="1"/>
  <c r="AA9" i="1"/>
  <c r="AB9" i="1"/>
  <c r="AC9" i="1"/>
  <c r="AD9" i="1"/>
  <c r="AE9" i="1"/>
  <c r="AF9" i="1"/>
  <c r="AG9" i="1"/>
  <c r="AH9" i="1"/>
  <c r="AI9" i="1"/>
  <c r="Z8" i="1"/>
  <c r="AA8" i="1"/>
  <c r="AB8" i="1"/>
  <c r="AC8" i="1"/>
  <c r="AD8" i="1"/>
  <c r="AE8" i="1"/>
  <c r="AF8" i="1"/>
  <c r="AG8" i="1"/>
  <c r="AH8" i="1"/>
  <c r="AI8" i="1"/>
  <c r="Z7" i="1"/>
  <c r="AA7" i="1"/>
  <c r="AB7" i="1"/>
  <c r="AC7" i="1"/>
  <c r="AD7" i="1"/>
  <c r="AE7" i="1"/>
  <c r="AF7" i="1"/>
  <c r="AG7" i="1"/>
  <c r="AH7" i="1"/>
  <c r="AI7" i="1"/>
  <c r="Z6" i="1"/>
  <c r="AA6" i="1"/>
  <c r="AB6" i="1"/>
  <c r="AC6" i="1"/>
  <c r="AD6" i="1"/>
  <c r="AE6" i="1"/>
  <c r="AF6" i="1"/>
  <c r="AG6" i="1"/>
  <c r="AH6" i="1"/>
  <c r="AI6" i="1"/>
  <c r="Z5" i="1"/>
  <c r="AA5" i="1"/>
  <c r="AB5" i="1"/>
  <c r="AC5" i="1"/>
  <c r="AD5" i="1"/>
  <c r="AE5" i="1"/>
  <c r="AF5" i="1"/>
  <c r="AG5" i="1"/>
  <c r="AH5" i="1"/>
  <c r="AI5" i="1"/>
  <c r="Z4" i="1"/>
  <c r="AA4" i="1"/>
  <c r="AB4" i="1"/>
  <c r="AC4" i="1"/>
  <c r="AD4" i="1"/>
  <c r="AE4" i="1"/>
  <c r="AF4" i="1"/>
  <c r="AG4" i="1"/>
  <c r="AH4" i="1"/>
  <c r="AI4" i="1"/>
  <c r="Z3" i="1"/>
  <c r="AA3" i="1"/>
  <c r="AB3" i="1"/>
  <c r="AC3" i="1"/>
  <c r="AD3" i="1"/>
  <c r="AE3" i="1"/>
  <c r="AF3" i="1"/>
  <c r="AG3" i="1"/>
  <c r="AH3" i="1"/>
  <c r="AI3" i="1"/>
  <c r="Z2" i="1"/>
  <c r="AA2" i="1"/>
  <c r="AB2" i="1"/>
  <c r="AC2" i="1"/>
  <c r="AD2" i="1"/>
  <c r="AE2" i="1"/>
  <c r="AF2" i="1"/>
  <c r="AG2" i="1"/>
  <c r="AH2" i="1"/>
  <c r="AI2" i="1"/>
  <c r="Y11" i="1"/>
  <c r="Y10" i="1"/>
  <c r="Y9" i="1"/>
  <c r="Y8" i="1"/>
  <c r="Y7" i="1"/>
  <c r="Y6" i="1"/>
  <c r="Y5" i="1"/>
  <c r="Y4" i="1"/>
  <c r="Y3" i="1"/>
  <c r="S11" i="1"/>
  <c r="T11" i="1"/>
  <c r="M10" i="1"/>
  <c r="N10" i="1"/>
  <c r="O10" i="1"/>
  <c r="P10" i="1"/>
  <c r="U10" i="1"/>
  <c r="S8" i="1"/>
  <c r="T8" i="1"/>
  <c r="U8" i="1"/>
  <c r="T7" i="1"/>
  <c r="S5" i="1"/>
  <c r="T5" i="1"/>
  <c r="S4" i="1"/>
  <c r="T4" i="1"/>
  <c r="U4" i="1"/>
  <c r="L5" i="1"/>
  <c r="M3" i="1"/>
  <c r="M11" i="1" s="1"/>
  <c r="N3" i="1"/>
  <c r="O3" i="1"/>
  <c r="S3" i="1"/>
  <c r="T3" i="1"/>
  <c r="U3" i="1"/>
  <c r="U11" i="1" s="1"/>
  <c r="L16" i="1"/>
  <c r="M16" i="1"/>
  <c r="M2" i="1" s="1"/>
  <c r="N16" i="1"/>
  <c r="N6" i="1" s="1"/>
  <c r="O16" i="1"/>
  <c r="O2" i="1" s="1"/>
  <c r="P16" i="1"/>
  <c r="P2" i="1" s="1"/>
  <c r="Q16" i="1"/>
  <c r="Q2" i="1" s="1"/>
  <c r="R16" i="1"/>
  <c r="R2" i="1" s="1"/>
  <c r="S16" i="1"/>
  <c r="S2" i="1" s="1"/>
  <c r="T16" i="1"/>
  <c r="T2" i="1" s="1"/>
  <c r="U16" i="1"/>
  <c r="U2" i="1" s="1"/>
  <c r="V16" i="1"/>
  <c r="V2" i="1" s="1"/>
  <c r="AI5" i="10" l="1"/>
  <c r="BO11" i="10"/>
  <c r="CA11" i="10" s="1"/>
  <c r="BJ11" i="7"/>
  <c r="BE6" i="7"/>
  <c r="AO5" i="7"/>
  <c r="BV2" i="7"/>
  <c r="BI7" i="7"/>
  <c r="AT5" i="7"/>
  <c r="BI5" i="7" s="1"/>
  <c r="BJ6" i="7"/>
  <c r="BP9" i="7"/>
  <c r="BJ3" i="7"/>
  <c r="BK8" i="7"/>
  <c r="BF11" i="7"/>
  <c r="AQ5" i="7"/>
  <c r="BF5" i="7" s="1"/>
  <c r="BK9" i="7"/>
  <c r="BT7" i="7"/>
  <c r="BU7" i="7"/>
  <c r="AQ10" i="7"/>
  <c r="BF10" i="7" s="1"/>
  <c r="BD8" i="7"/>
  <c r="AR10" i="7"/>
  <c r="BG10" i="7" s="1"/>
  <c r="BO3" i="7"/>
  <c r="BJ4" i="7"/>
  <c r="BL8" i="7"/>
  <c r="BF8" i="7"/>
  <c r="AU8" i="7"/>
  <c r="BJ8" i="7" s="1"/>
  <c r="BE5" i="7"/>
  <c r="BG6" i="7"/>
  <c r="AO4" i="7"/>
  <c r="BD4" i="7" s="1"/>
  <c r="BR6" i="7"/>
  <c r="AR4" i="7"/>
  <c r="BG4" i="7" s="1"/>
  <c r="BU6" i="7"/>
  <c r="BL11" i="7"/>
  <c r="AP11" i="7"/>
  <c r="BE11" i="7" s="1"/>
  <c r="BL7" i="7"/>
  <c r="AS7" i="7"/>
  <c r="BH7" i="7" s="1"/>
  <c r="AU2" i="7"/>
  <c r="BJ2" i="7" s="1"/>
  <c r="BK2" i="7"/>
  <c r="BJ7" i="7"/>
  <c r="BH5" i="7"/>
  <c r="BL2" i="7"/>
  <c r="BL3" i="7"/>
  <c r="AS6" i="7"/>
  <c r="BH6" i="7" s="1"/>
  <c r="BL10" i="7"/>
  <c r="AS11" i="7"/>
  <c r="BH11" i="7" s="1"/>
  <c r="AP4" i="7"/>
  <c r="BE4" i="7" s="1"/>
  <c r="AT6" i="7"/>
  <c r="BI6" i="7" s="1"/>
  <c r="AO10" i="7"/>
  <c r="BD10" i="7" s="1"/>
  <c r="AT11" i="7"/>
  <c r="BI11" i="7" s="1"/>
  <c r="AQ4" i="7"/>
  <c r="BF4" i="7" s="1"/>
  <c r="AV7" i="7"/>
  <c r="BK7" i="7" s="1"/>
  <c r="AP10" i="7"/>
  <c r="BE10" i="7" s="1"/>
  <c r="BI3" i="7"/>
  <c r="BI4" i="7"/>
  <c r="AV6" i="7"/>
  <c r="BK6" i="7" s="1"/>
  <c r="BH10" i="7"/>
  <c r="BL6" i="7"/>
  <c r="BV8" i="7"/>
  <c r="BJ9" i="7"/>
  <c r="BF3" i="7"/>
  <c r="BL9" i="7"/>
  <c r="AP3" i="7"/>
  <c r="BE3" i="7" s="1"/>
  <c r="BP5" i="7"/>
  <c r="BF9" i="7"/>
  <c r="AO9" i="7"/>
  <c r="BD9" i="7" s="1"/>
  <c r="BG7" i="7"/>
  <c r="BD3" i="7"/>
  <c r="BS5" i="7"/>
  <c r="BQ11" i="7"/>
  <c r="BE9" i="7"/>
  <c r="BK3" i="7"/>
  <c r="AO11" i="7"/>
  <c r="BD11" i="7" s="1"/>
  <c r="BF2" i="7"/>
  <c r="BE8" i="7"/>
  <c r="AR5" i="7"/>
  <c r="BG5" i="7" s="1"/>
  <c r="AQ6" i="7"/>
  <c r="BF6" i="7" s="1"/>
  <c r="BJ10" i="7"/>
  <c r="BL4" i="7"/>
  <c r="BJ5" i="7"/>
  <c r="AR11" i="7"/>
  <c r="BG11" i="7" s="1"/>
  <c r="AI3" i="10"/>
  <c r="BP10" i="10"/>
  <c r="CB10" i="10" s="1"/>
  <c r="AD11" i="10"/>
  <c r="AE11" i="10"/>
  <c r="AC2" i="10"/>
  <c r="AC11" i="10"/>
  <c r="BN6" i="10"/>
  <c r="BZ6" i="10" s="1"/>
  <c r="AG5" i="10"/>
  <c r="BL6" i="10"/>
  <c r="BX6" i="10" s="1"/>
  <c r="AJ5" i="10"/>
  <c r="AK5" i="10"/>
  <c r="BS5" i="10"/>
  <c r="CE5" i="10" s="1"/>
  <c r="AH6" i="10"/>
  <c r="BS4" i="10"/>
  <c r="CE4" i="10" s="1"/>
  <c r="AC3" i="10"/>
  <c r="AE10" i="10"/>
  <c r="BM2" i="10"/>
  <c r="BY2" i="10" s="1"/>
  <c r="BQ7" i="10"/>
  <c r="CC7" i="10" s="1"/>
  <c r="BO3" i="10"/>
  <c r="CA3" i="10" s="1"/>
  <c r="BR7" i="10"/>
  <c r="CD7" i="10" s="1"/>
  <c r="BS7" i="10"/>
  <c r="CE7" i="10" s="1"/>
  <c r="AF9" i="10"/>
  <c r="BJ9" i="10"/>
  <c r="BV9" i="10" s="1"/>
  <c r="AL11" i="10"/>
  <c r="AD9" i="10"/>
  <c r="AJ10" i="10"/>
  <c r="AJ9" i="10"/>
  <c r="AK10" i="10"/>
  <c r="AD2" i="10"/>
  <c r="AH8" i="10"/>
  <c r="BS9" i="10"/>
  <c r="CE9" i="10" s="1"/>
  <c r="BR3" i="10"/>
  <c r="CD3" i="10" s="1"/>
  <c r="BP8" i="10"/>
  <c r="CB8" i="10" s="1"/>
  <c r="AC7" i="10"/>
  <c r="BQ8" i="10"/>
  <c r="CC8" i="10" s="1"/>
  <c r="BN7" i="10"/>
  <c r="BZ7" i="10" s="1"/>
  <c r="AK8" i="10"/>
  <c r="BL8" i="10"/>
  <c r="BX8" i="10" s="1"/>
  <c r="BQ2" i="10"/>
  <c r="CC2" i="10" s="1"/>
  <c r="BL3" i="10"/>
  <c r="BX3" i="10" s="1"/>
  <c r="AC4" i="10"/>
  <c r="AD4" i="10"/>
  <c r="AE5" i="10"/>
  <c r="AF4" i="10"/>
  <c r="AD6" i="10"/>
  <c r="BQ3" i="10"/>
  <c r="CC3" i="10" s="1"/>
  <c r="AJ4" i="10"/>
  <c r="AG10" i="10"/>
  <c r="AL2" i="10"/>
  <c r="BL4" i="10"/>
  <c r="BX4" i="10" s="1"/>
  <c r="AL6" i="10"/>
  <c r="AC8" i="10"/>
  <c r="Z10" i="6"/>
  <c r="BC10" i="6" s="1"/>
  <c r="AY11" i="6"/>
  <c r="AH10" i="10"/>
  <c r="BN8" i="10"/>
  <c r="BZ8" i="10" s="1"/>
  <c r="AF11" i="10"/>
  <c r="AE2" i="10"/>
  <c r="BN2" i="10"/>
  <c r="BZ2" i="10" s="1"/>
  <c r="AL3" i="10"/>
  <c r="AG4" i="10"/>
  <c r="BP4" i="10"/>
  <c r="CB4" i="10" s="1"/>
  <c r="BK5" i="10"/>
  <c r="BW5" i="10" s="1"/>
  <c r="AI6" i="10"/>
  <c r="BR6" i="10"/>
  <c r="CD6" i="10" s="1"/>
  <c r="AL8" i="10"/>
  <c r="AG9" i="10"/>
  <c r="BP9" i="10"/>
  <c r="CB9" i="10" s="1"/>
  <c r="BK10" i="10"/>
  <c r="BW10" i="10" s="1"/>
  <c r="AI11" i="10"/>
  <c r="BR11" i="10"/>
  <c r="CD11" i="10" s="1"/>
  <c r="AH4" i="10"/>
  <c r="AC5" i="10"/>
  <c r="AJ6" i="10"/>
  <c r="AE7" i="10"/>
  <c r="BO7" i="10"/>
  <c r="CA7" i="10" s="1"/>
  <c r="AH9" i="10"/>
  <c r="AC10" i="10"/>
  <c r="AJ11" i="10"/>
  <c r="BP2" i="10"/>
  <c r="CB2" i="10" s="1"/>
  <c r="BK3" i="10"/>
  <c r="BW3" i="10" s="1"/>
  <c r="BR4" i="10"/>
  <c r="CD4" i="10" s="1"/>
  <c r="BM5" i="10"/>
  <c r="BY5" i="10" s="1"/>
  <c r="AF7" i="10"/>
  <c r="BP7" i="10"/>
  <c r="CB7" i="10" s="1"/>
  <c r="BK8" i="10"/>
  <c r="BW8" i="10" s="1"/>
  <c r="BR9" i="10"/>
  <c r="CD9" i="10" s="1"/>
  <c r="BM10" i="10"/>
  <c r="BY10" i="10" s="1"/>
  <c r="BR2" i="10"/>
  <c r="CD2" i="10" s="1"/>
  <c r="BM3" i="10"/>
  <c r="BY3" i="10" s="1"/>
  <c r="BO5" i="10"/>
  <c r="CA5" i="10" s="1"/>
  <c r="BJ6" i="10"/>
  <c r="BV6" i="10" s="1"/>
  <c r="BM8" i="10"/>
  <c r="BY8" i="10" s="1"/>
  <c r="BL9" i="10"/>
  <c r="BX9" i="10" s="1"/>
  <c r="BS10" i="10"/>
  <c r="CE10" i="10" s="1"/>
  <c r="BN11" i="10"/>
  <c r="BZ11" i="10" s="1"/>
  <c r="O2" i="6"/>
  <c r="AT2" i="6" s="1"/>
  <c r="O8" i="6"/>
  <c r="AT8" i="6" s="1"/>
  <c r="R2" i="6"/>
  <c r="AW2" i="6" s="1"/>
  <c r="R7" i="6"/>
  <c r="AW7" i="6" s="1"/>
  <c r="R9" i="6"/>
  <c r="AW9" i="6" s="1"/>
  <c r="AA3" i="6"/>
  <c r="BD3" i="6" s="1"/>
  <c r="O10" i="6"/>
  <c r="AT10" i="6" s="1"/>
  <c r="O3" i="6"/>
  <c r="AT3" i="6" s="1"/>
  <c r="M3" i="6"/>
  <c r="AR3" i="6" s="1"/>
  <c r="M2" i="6"/>
  <c r="P5" i="6"/>
  <c r="AU5" i="6" s="1"/>
  <c r="X2" i="6"/>
  <c r="P3" i="6"/>
  <c r="AU3" i="6" s="1"/>
  <c r="O5" i="6"/>
  <c r="AT5" i="6" s="1"/>
  <c r="Y2" i="6"/>
  <c r="BB2" i="6" s="1"/>
  <c r="Z2" i="6"/>
  <c r="BC2" i="6" s="1"/>
  <c r="O7" i="6"/>
  <c r="AT7" i="6" s="1"/>
  <c r="AB9" i="6"/>
  <c r="BE9" i="6" s="1"/>
  <c r="AV7" i="6"/>
  <c r="P10" i="6"/>
  <c r="AU10" i="6" s="1"/>
  <c r="AV2" i="6"/>
  <c r="R4" i="6"/>
  <c r="AW4" i="6" s="1"/>
  <c r="AV9" i="6"/>
  <c r="AV4" i="6"/>
  <c r="P7" i="6"/>
  <c r="AU7" i="6" s="1"/>
  <c r="R11" i="6"/>
  <c r="AW11" i="6" s="1"/>
  <c r="R6" i="6"/>
  <c r="AW6" i="6" s="1"/>
  <c r="AV11" i="6"/>
  <c r="P2" i="6"/>
  <c r="AU2" i="6" s="1"/>
  <c r="AV6" i="6"/>
  <c r="P9" i="6"/>
  <c r="AU9" i="6" s="1"/>
  <c r="P4" i="6"/>
  <c r="AU4" i="6" s="1"/>
  <c r="R8" i="6"/>
  <c r="AW8" i="6" s="1"/>
  <c r="R3" i="6"/>
  <c r="AW3" i="6" s="1"/>
  <c r="AV8" i="6"/>
  <c r="O9" i="6"/>
  <c r="AT9" i="6" s="1"/>
  <c r="P11" i="6"/>
  <c r="AU11" i="6" s="1"/>
  <c r="AV3" i="6"/>
  <c r="O4" i="6"/>
  <c r="AT4" i="6" s="1"/>
  <c r="P6" i="6"/>
  <c r="AU6" i="6" s="1"/>
  <c r="R10" i="6"/>
  <c r="AW10" i="6" s="1"/>
  <c r="N5" i="6"/>
  <c r="AS5" i="6" s="1"/>
  <c r="AV10" i="6"/>
  <c r="O11" i="6"/>
  <c r="AT11" i="6" s="1"/>
  <c r="N2" i="6"/>
  <c r="AS2" i="6" s="1"/>
  <c r="N3" i="6"/>
  <c r="AS3" i="6" s="1"/>
  <c r="AA2" i="6"/>
  <c r="BD2" i="6" s="1"/>
  <c r="AA6" i="6"/>
  <c r="BD6" i="6" s="1"/>
  <c r="AE10" i="6"/>
  <c r="BH10" i="6" s="1"/>
  <c r="BZ11" i="6"/>
  <c r="T3" i="6"/>
  <c r="AY3" i="6" s="1"/>
  <c r="BU7" i="6"/>
  <c r="BG8" i="7"/>
  <c r="BK10" i="7"/>
  <c r="BL5" i="7"/>
  <c r="BH8" i="7"/>
  <c r="BG2" i="7"/>
  <c r="BK4" i="7"/>
  <c r="BI8" i="7"/>
  <c r="BH2" i="7"/>
  <c r="BE7" i="7"/>
  <c r="BH9" i="7"/>
  <c r="BI2" i="7"/>
  <c r="BD6" i="7"/>
  <c r="BF7" i="7"/>
  <c r="BI9" i="7"/>
  <c r="BQ3" i="7"/>
  <c r="BO8" i="7"/>
  <c r="BS10" i="7"/>
  <c r="BU11" i="7"/>
  <c r="BT4" i="7"/>
  <c r="BP8" i="7"/>
  <c r="BU4" i="7"/>
  <c r="BQ8" i="7"/>
  <c r="BS9" i="7"/>
  <c r="BU10" i="7"/>
  <c r="BR2" i="7"/>
  <c r="BT3" i="7"/>
  <c r="BV4" i="7"/>
  <c r="AO2" i="7"/>
  <c r="BD2" i="7" s="1"/>
  <c r="BU3" i="7"/>
  <c r="BO6" i="7"/>
  <c r="AP2" i="7"/>
  <c r="BE2" i="7" s="1"/>
  <c r="BT2" i="7"/>
  <c r="AR3" i="7"/>
  <c r="BG3" i="7" s="1"/>
  <c r="BV3" i="7"/>
  <c r="AV5" i="7"/>
  <c r="BK5" i="7" s="1"/>
  <c r="BP6" i="7"/>
  <c r="BR7" i="7"/>
  <c r="BT8" i="7"/>
  <c r="AR9" i="7"/>
  <c r="BG9" i="7" s="1"/>
  <c r="BV9" i="7"/>
  <c r="AT10" i="7"/>
  <c r="BI10" i="7" s="1"/>
  <c r="AV11" i="7"/>
  <c r="BK11" i="7" s="1"/>
  <c r="BU5" i="7"/>
  <c r="BQ9" i="7"/>
  <c r="BQ2" i="7"/>
  <c r="BP7" i="7"/>
  <c r="BR8" i="7"/>
  <c r="BT9" i="7"/>
  <c r="BV10" i="7"/>
  <c r="BS2" i="7"/>
  <c r="AS4" i="7"/>
  <c r="BH4" i="7" s="1"/>
  <c r="BQ7" i="7"/>
  <c r="BS8" i="7"/>
  <c r="BU9" i="7"/>
  <c r="AS3" i="7"/>
  <c r="BH3" i="7" s="1"/>
  <c r="AO7" i="7"/>
  <c r="BD7" i="7" s="1"/>
  <c r="W11" i="3"/>
  <c r="H4" i="3"/>
  <c r="H11" i="3"/>
  <c r="W2" i="3"/>
  <c r="H9" i="3"/>
  <c r="H8" i="3"/>
  <c r="H10" i="3"/>
  <c r="P2" i="3"/>
  <c r="P3" i="3"/>
  <c r="T8" i="3"/>
  <c r="T9" i="3"/>
  <c r="T11" i="3"/>
  <c r="AI2" i="3"/>
  <c r="O2" i="3"/>
  <c r="O3" i="3"/>
  <c r="P4" i="3"/>
  <c r="W3" i="3"/>
  <c r="N2" i="3"/>
  <c r="N3" i="3"/>
  <c r="O4" i="3"/>
  <c r="W4" i="3"/>
  <c r="AE3" i="3"/>
  <c r="AE4" i="3"/>
  <c r="M2" i="3"/>
  <c r="M3" i="3"/>
  <c r="N4" i="3"/>
  <c r="P5" i="3"/>
  <c r="W5" i="3"/>
  <c r="AD3" i="3"/>
  <c r="AD4" i="3"/>
  <c r="P8" i="3"/>
  <c r="P11" i="3"/>
  <c r="AC4" i="3"/>
  <c r="L3" i="3"/>
  <c r="P7" i="3"/>
  <c r="AC3" i="3"/>
  <c r="K2" i="3"/>
  <c r="K3" i="3"/>
  <c r="L4" i="3"/>
  <c r="N5" i="3"/>
  <c r="O6" i="3"/>
  <c r="O7" i="3"/>
  <c r="O8" i="3"/>
  <c r="O9" i="3"/>
  <c r="O11" i="3"/>
  <c r="AD2" i="3"/>
  <c r="W7" i="3"/>
  <c r="AB3" i="3"/>
  <c r="AB4" i="3"/>
  <c r="AE2" i="3"/>
  <c r="J2" i="3"/>
  <c r="J3" i="3"/>
  <c r="K4" i="3"/>
  <c r="H5" i="3"/>
  <c r="M5" i="3"/>
  <c r="N6" i="3"/>
  <c r="N7" i="3"/>
  <c r="N8" i="3"/>
  <c r="N9" i="3"/>
  <c r="N11" i="3"/>
  <c r="W8" i="3"/>
  <c r="AA3" i="3"/>
  <c r="AA4" i="3"/>
  <c r="J4" i="3"/>
  <c r="L5" i="3"/>
  <c r="M6" i="3"/>
  <c r="M7" i="3"/>
  <c r="M8" i="3"/>
  <c r="M9" i="3"/>
  <c r="M11" i="3"/>
  <c r="W9" i="3"/>
  <c r="Z3" i="3"/>
  <c r="Z4" i="3"/>
  <c r="P6" i="3"/>
  <c r="W6" i="3"/>
  <c r="T2" i="3"/>
  <c r="H3" i="3"/>
  <c r="I4" i="3"/>
  <c r="H7" i="3"/>
  <c r="L6" i="3"/>
  <c r="L7" i="3"/>
  <c r="L8" i="3"/>
  <c r="L9" i="3"/>
  <c r="L11" i="3"/>
  <c r="Y3" i="3"/>
  <c r="AD10" i="6"/>
  <c r="BG10" i="6" s="1"/>
  <c r="AB5" i="6"/>
  <c r="BE5" i="6" s="1"/>
  <c r="S5" i="6"/>
  <c r="AX5" i="6" s="1"/>
  <c r="X5" i="6"/>
  <c r="BA5" i="6" s="1"/>
  <c r="AD11" i="6"/>
  <c r="BG11" i="6" s="1"/>
  <c r="AC3" i="6"/>
  <c r="BF3" i="6" s="1"/>
  <c r="S8" i="6"/>
  <c r="AX8" i="6" s="1"/>
  <c r="AD3" i="6"/>
  <c r="BG3" i="6" s="1"/>
  <c r="AD5" i="6"/>
  <c r="BG5" i="6" s="1"/>
  <c r="AC8" i="6"/>
  <c r="BF8" i="6" s="1"/>
  <c r="AD8" i="6"/>
  <c r="BG8" i="6" s="1"/>
  <c r="T6" i="6"/>
  <c r="AY6" i="6" s="1"/>
  <c r="AD2" i="6"/>
  <c r="BG2" i="6" s="1"/>
  <c r="S2" i="6"/>
  <c r="AX2" i="6" s="1"/>
  <c r="AC4" i="6"/>
  <c r="BF4" i="6" s="1"/>
  <c r="S9" i="6"/>
  <c r="AX9" i="6" s="1"/>
  <c r="S7" i="6"/>
  <c r="AX7" i="6" s="1"/>
  <c r="AD4" i="6"/>
  <c r="BG4" i="6" s="1"/>
  <c r="AC6" i="6"/>
  <c r="BF6" i="6" s="1"/>
  <c r="T10" i="6"/>
  <c r="AY10" i="6" s="1"/>
  <c r="T2" i="6"/>
  <c r="AY2" i="6" s="1"/>
  <c r="AE3" i="6"/>
  <c r="BH3" i="6" s="1"/>
  <c r="AE6" i="6"/>
  <c r="BH6" i="6" s="1"/>
  <c r="T8" i="6"/>
  <c r="AY8" i="6" s="1"/>
  <c r="AC2" i="6"/>
  <c r="BF2" i="6" s="1"/>
  <c r="T4" i="6"/>
  <c r="AY4" i="6" s="1"/>
  <c r="AC5" i="6"/>
  <c r="BF5" i="6" s="1"/>
  <c r="AE5" i="6"/>
  <c r="BH5" i="6" s="1"/>
  <c r="T7" i="6"/>
  <c r="AY7" i="6" s="1"/>
  <c r="AE4" i="6"/>
  <c r="BH4" i="6" s="1"/>
  <c r="AC7" i="6"/>
  <c r="BF7" i="6" s="1"/>
  <c r="AC9" i="6"/>
  <c r="BF9" i="6" s="1"/>
  <c r="AD7" i="6"/>
  <c r="BG7" i="6" s="1"/>
  <c r="AD9" i="6"/>
  <c r="BG9" i="6" s="1"/>
  <c r="S6" i="6"/>
  <c r="AX6" i="6" s="1"/>
  <c r="AE9" i="6"/>
  <c r="BH9" i="6" s="1"/>
  <c r="N6" i="6"/>
  <c r="AS6" i="6" s="1"/>
  <c r="AE8" i="6"/>
  <c r="BH8" i="6" s="1"/>
  <c r="Y5" i="6"/>
  <c r="BB5" i="6" s="1"/>
  <c r="AB6" i="6"/>
  <c r="BE6" i="6" s="1"/>
  <c r="AE11" i="6"/>
  <c r="BH11" i="6" s="1"/>
  <c r="S3" i="6"/>
  <c r="AX3" i="6" s="1"/>
  <c r="S4" i="6"/>
  <c r="AX4" i="6" s="1"/>
  <c r="T5" i="6"/>
  <c r="AY5" i="6" s="1"/>
  <c r="AD6" i="6"/>
  <c r="BG6" i="6" s="1"/>
  <c r="AE7" i="6"/>
  <c r="BH7" i="6" s="1"/>
  <c r="S10" i="6"/>
  <c r="AX10" i="6" s="1"/>
  <c r="AB4" i="6"/>
  <c r="BE4" i="6" s="1"/>
  <c r="Z5" i="6"/>
  <c r="BC5" i="6" s="1"/>
  <c r="AB3" i="6"/>
  <c r="BE3" i="6" s="1"/>
  <c r="AB10" i="6"/>
  <c r="BE10" i="6" s="1"/>
  <c r="T9" i="6"/>
  <c r="AY9" i="6" s="1"/>
  <c r="AB2" i="6"/>
  <c r="BE2" i="6" s="1"/>
  <c r="AA5" i="6"/>
  <c r="BD5" i="6" s="1"/>
  <c r="AE2" i="6"/>
  <c r="BH2" i="6" s="1"/>
  <c r="AB8" i="6"/>
  <c r="BE8" i="6" s="1"/>
  <c r="N10" i="6"/>
  <c r="AS10" i="6" s="1"/>
  <c r="AB7" i="6"/>
  <c r="BE7" i="6" s="1"/>
  <c r="Y3" i="6"/>
  <c r="BB3" i="6" s="1"/>
  <c r="AA7" i="6"/>
  <c r="BD7" i="6" s="1"/>
  <c r="Y4" i="6"/>
  <c r="BB4" i="6" s="1"/>
  <c r="AA8" i="6"/>
  <c r="BD8" i="6" s="1"/>
  <c r="Y9" i="6"/>
  <c r="BB9" i="6" s="1"/>
  <c r="X4" i="6"/>
  <c r="BA4" i="6" s="1"/>
  <c r="AA9" i="6"/>
  <c r="BD9" i="6" s="1"/>
  <c r="Y11" i="6"/>
  <c r="BB11" i="6" s="1"/>
  <c r="AA4" i="6"/>
  <c r="BD4" i="6" s="1"/>
  <c r="Y6" i="6"/>
  <c r="BB6" i="6" s="1"/>
  <c r="AB11" i="6"/>
  <c r="BE11" i="6" s="1"/>
  <c r="Z6" i="6"/>
  <c r="BC6" i="6" s="1"/>
  <c r="AA10" i="6"/>
  <c r="BD10" i="6" s="1"/>
  <c r="M6" i="6"/>
  <c r="AR6" i="6" s="1"/>
  <c r="M5" i="6"/>
  <c r="AR5" i="6" s="1"/>
  <c r="Z9" i="6"/>
  <c r="BC9" i="6" s="1"/>
  <c r="X3" i="6"/>
  <c r="BA3" i="6" s="1"/>
  <c r="N4" i="6"/>
  <c r="AS4" i="6" s="1"/>
  <c r="Z4" i="6"/>
  <c r="BC4" i="6" s="1"/>
  <c r="N9" i="6"/>
  <c r="AS9" i="6" s="1"/>
  <c r="Z11" i="6"/>
  <c r="BC11" i="6" s="1"/>
  <c r="Z3" i="6"/>
  <c r="BC3" i="6" s="1"/>
  <c r="Y8" i="6"/>
  <c r="BB8" i="6" s="1"/>
  <c r="N11" i="6"/>
  <c r="AS11" i="6" s="1"/>
  <c r="AA11" i="6"/>
  <c r="BD11" i="6" s="1"/>
  <c r="M8" i="6"/>
  <c r="AR8" i="6" s="1"/>
  <c r="Z8" i="6"/>
  <c r="BC8" i="6" s="1"/>
  <c r="X7" i="6"/>
  <c r="BA7" i="6" s="1"/>
  <c r="N8" i="6"/>
  <c r="AS8" i="6" s="1"/>
  <c r="M4" i="6"/>
  <c r="AR4" i="6" s="1"/>
  <c r="M7" i="6"/>
  <c r="AR7" i="6" s="1"/>
  <c r="Y7" i="6"/>
  <c r="BB7" i="6" s="1"/>
  <c r="Y10" i="6"/>
  <c r="BB10" i="6" s="1"/>
  <c r="X6" i="6"/>
  <c r="BA6" i="6" s="1"/>
  <c r="Z7" i="6"/>
  <c r="BC7" i="6" s="1"/>
  <c r="AC10" i="6"/>
  <c r="BF10" i="6" s="1"/>
  <c r="X11" i="6"/>
  <c r="BA11" i="6" s="1"/>
  <c r="M11" i="6"/>
  <c r="AR11" i="6" s="1"/>
  <c r="X10" i="6"/>
  <c r="BA10" i="6" s="1"/>
  <c r="M10" i="6"/>
  <c r="AR10" i="6" s="1"/>
  <c r="X9" i="6"/>
  <c r="BA9" i="6" s="1"/>
  <c r="M9" i="6"/>
  <c r="AR9" i="6" s="1"/>
  <c r="AC11" i="6"/>
  <c r="BF11" i="6" s="1"/>
  <c r="R4" i="1"/>
  <c r="R6" i="1"/>
  <c r="P8" i="1"/>
  <c r="N11" i="1"/>
  <c r="L8" i="1"/>
  <c r="N4" i="1"/>
  <c r="V6" i="1"/>
  <c r="R7" i="1"/>
  <c r="M8" i="1"/>
  <c r="T10" i="1"/>
  <c r="V9" i="1"/>
  <c r="V4" i="1"/>
  <c r="Q8" i="1"/>
  <c r="Q4" i="1"/>
  <c r="R3" i="1"/>
  <c r="R11" i="1" s="1"/>
  <c r="L9" i="1"/>
  <c r="L7" i="1" s="1"/>
  <c r="U6" i="1"/>
  <c r="Q7" i="1"/>
  <c r="U9" i="1"/>
  <c r="U7" i="1" s="1"/>
  <c r="S10" i="1"/>
  <c r="R9" i="1"/>
  <c r="R5" i="1"/>
  <c r="P9" i="1"/>
  <c r="V3" i="1"/>
  <c r="V11" i="1" s="1"/>
  <c r="O6" i="1"/>
  <c r="R8" i="1"/>
  <c r="P5" i="1"/>
  <c r="N9" i="1"/>
  <c r="N7" i="1" s="1"/>
  <c r="O5" i="1"/>
  <c r="M9" i="1"/>
  <c r="M7" i="1" s="1"/>
  <c r="P4" i="1"/>
  <c r="V10" i="1"/>
  <c r="O4" i="1"/>
  <c r="N8" i="1"/>
  <c r="Q3" i="1"/>
  <c r="Q11" i="1" s="1"/>
  <c r="V5" i="1"/>
  <c r="T6" i="1"/>
  <c r="P7" i="1"/>
  <c r="T9" i="1"/>
  <c r="R10" i="1"/>
  <c r="N2" i="1"/>
  <c r="Q6" i="1"/>
  <c r="Q9" i="1"/>
  <c r="P6" i="1"/>
  <c r="Q5" i="1"/>
  <c r="O9" i="1"/>
  <c r="O7" i="1" s="1"/>
  <c r="M6" i="1"/>
  <c r="V7" i="1"/>
  <c r="O8" i="1"/>
  <c r="O11" i="1"/>
  <c r="L6" i="1"/>
  <c r="M5" i="1"/>
  <c r="P3" i="1"/>
  <c r="P11" i="1" s="1"/>
  <c r="U5" i="1"/>
  <c r="S6" i="1"/>
  <c r="V8" i="1"/>
  <c r="S9" i="1"/>
  <c r="S7" i="1" s="1"/>
  <c r="Q10" i="1"/>
  <c r="BD5" i="7" l="1"/>
  <c r="BJ11" i="6"/>
  <c r="AF2" i="6"/>
  <c r="BA2" i="6"/>
  <c r="AR2" i="6"/>
  <c r="BT2" i="6"/>
  <c r="U2" i="6"/>
  <c r="BW11" i="6"/>
  <c r="BM6" i="6"/>
  <c r="BW6" i="6"/>
  <c r="BW10" i="6"/>
  <c r="BY11" i="6"/>
  <c r="BK7" i="6"/>
  <c r="BQ11" i="6"/>
  <c r="BP11" i="6"/>
  <c r="BM10" i="6"/>
  <c r="BM11" i="6"/>
  <c r="BU11" i="6"/>
  <c r="BX11" i="6"/>
  <c r="BL11" i="6"/>
  <c r="BV11" i="6"/>
  <c r="BK10" i="6"/>
  <c r="BU10" i="6"/>
  <c r="BL10" i="6"/>
  <c r="BV10" i="6"/>
  <c r="BO10" i="6"/>
  <c r="BY10" i="6"/>
  <c r="BP10" i="6"/>
  <c r="BZ10" i="6"/>
  <c r="BQ10" i="6"/>
  <c r="CA10" i="6"/>
  <c r="BN10" i="6"/>
  <c r="BX10" i="6"/>
  <c r="BO9" i="6"/>
  <c r="BY9" i="6"/>
  <c r="BN9" i="6"/>
  <c r="BX9" i="6"/>
  <c r="BW9" i="6"/>
  <c r="BZ9" i="6"/>
  <c r="BK9" i="6"/>
  <c r="BU9" i="6"/>
  <c r="BQ9" i="6"/>
  <c r="CA9" i="6"/>
  <c r="BL9" i="6"/>
  <c r="BV9" i="6"/>
  <c r="BW8" i="6"/>
  <c r="BZ8" i="6"/>
  <c r="BO8" i="6"/>
  <c r="BY8" i="6"/>
  <c r="BQ8" i="6"/>
  <c r="CA8" i="6"/>
  <c r="BX8" i="6"/>
  <c r="BL8" i="6"/>
  <c r="BV8" i="6"/>
  <c r="BK8" i="6"/>
  <c r="BU8" i="6"/>
  <c r="CA7" i="6"/>
  <c r="BX7" i="6"/>
  <c r="BZ7" i="6"/>
  <c r="BY7" i="6"/>
  <c r="BW7" i="6"/>
  <c r="BL7" i="6"/>
  <c r="BV7" i="6"/>
  <c r="BQ6" i="6"/>
  <c r="CA6" i="6"/>
  <c r="BU6" i="6"/>
  <c r="BL6" i="6"/>
  <c r="BV6" i="6"/>
  <c r="BZ6" i="6"/>
  <c r="BO6" i="6"/>
  <c r="BY6" i="6"/>
  <c r="BN6" i="6"/>
  <c r="BX6" i="6"/>
  <c r="BZ5" i="6"/>
  <c r="BQ5" i="6"/>
  <c r="CA5" i="6"/>
  <c r="BL5" i="6"/>
  <c r="BV5" i="6"/>
  <c r="BO5" i="6"/>
  <c r="BY5" i="6"/>
  <c r="BN5" i="6"/>
  <c r="BX5" i="6"/>
  <c r="BU5" i="6"/>
  <c r="BW5" i="6"/>
  <c r="BY4" i="6"/>
  <c r="BM4" i="6"/>
  <c r="BW4" i="6"/>
  <c r="BN4" i="6"/>
  <c r="BX4" i="6"/>
  <c r="BK4" i="6"/>
  <c r="BU4" i="6"/>
  <c r="BV4" i="6"/>
  <c r="BP4" i="6"/>
  <c r="BZ4" i="6"/>
  <c r="BQ4" i="6"/>
  <c r="CA4" i="6"/>
  <c r="BQ3" i="6"/>
  <c r="CA3" i="6"/>
  <c r="BO3" i="6"/>
  <c r="BY3" i="6"/>
  <c r="BK3" i="6"/>
  <c r="BU3" i="6"/>
  <c r="BN3" i="6"/>
  <c r="BX3" i="6"/>
  <c r="BM3" i="6"/>
  <c r="BW3" i="6"/>
  <c r="BV3" i="6"/>
  <c r="BP3" i="6"/>
  <c r="BZ3" i="6"/>
  <c r="BQ2" i="6"/>
  <c r="CA2" i="6"/>
  <c r="BM2" i="6"/>
  <c r="BW2" i="6"/>
  <c r="BO2" i="6"/>
  <c r="BY2" i="6"/>
  <c r="BK2" i="6"/>
  <c r="BU2" i="6"/>
  <c r="BL2" i="6"/>
  <c r="BV2" i="6"/>
  <c r="BN2" i="6"/>
  <c r="BX2" i="6"/>
  <c r="BP2" i="6"/>
  <c r="BZ2" i="6"/>
  <c r="BJ8" i="6"/>
  <c r="BT8" i="6"/>
  <c r="BT11" i="6"/>
  <c r="BT9" i="6"/>
  <c r="BJ10" i="6"/>
  <c r="BT10" i="6"/>
  <c r="BJ4" i="6"/>
  <c r="BT4" i="6"/>
  <c r="BJ3" i="6"/>
  <c r="BT3" i="6"/>
  <c r="BT5" i="6"/>
  <c r="BJ6" i="6"/>
  <c r="BT6" i="6"/>
  <c r="BJ7" i="6"/>
  <c r="BT7" i="6"/>
  <c r="BM9" i="6"/>
  <c r="BL3" i="6"/>
  <c r="BK5" i="6"/>
  <c r="BO4" i="6"/>
  <c r="BL4" i="6"/>
  <c r="BN11" i="6"/>
  <c r="BN8" i="6"/>
  <c r="BM5" i="6"/>
  <c r="BK6" i="6"/>
  <c r="BQ7" i="6"/>
  <c r="BP5" i="6"/>
  <c r="BJ5" i="6"/>
  <c r="BN7" i="6"/>
  <c r="BM8" i="6"/>
  <c r="BP7" i="6"/>
  <c r="BP8" i="6"/>
  <c r="BK11" i="6"/>
  <c r="BJ9" i="6"/>
  <c r="BM7" i="6"/>
  <c r="BP6" i="6"/>
  <c r="BO7" i="6"/>
  <c r="BP9" i="6"/>
  <c r="BJ2" i="6" l="1"/>
  <c r="BO11" i="6"/>
</calcChain>
</file>

<file path=xl/sharedStrings.xml><?xml version="1.0" encoding="utf-8"?>
<sst xmlns="http://schemas.openxmlformats.org/spreadsheetml/2006/main" count="924" uniqueCount="250">
  <si>
    <t>位置</t>
    <phoneticPr fontId="1" type="noConversion"/>
  </si>
  <si>
    <t>经度</t>
    <phoneticPr fontId="1" type="noConversion"/>
  </si>
  <si>
    <t>纬度</t>
    <phoneticPr fontId="1" type="noConversion"/>
  </si>
  <si>
    <t>平均风速</t>
  </si>
  <si>
    <t>平均风能密度</t>
  </si>
  <si>
    <t>W1</t>
    <phoneticPr fontId="1" type="noConversion"/>
  </si>
  <si>
    <t>W3</t>
  </si>
  <si>
    <t>W4</t>
  </si>
  <si>
    <t>W5</t>
  </si>
  <si>
    <t>W6</t>
  </si>
  <si>
    <t>W8</t>
  </si>
  <si>
    <t>W9</t>
  </si>
  <si>
    <t>CV</t>
    <phoneticPr fontId="1" type="noConversion"/>
  </si>
  <si>
    <t>MVI</t>
    <phoneticPr fontId="1" type="noConversion"/>
  </si>
  <si>
    <t>波浪能</t>
    <phoneticPr fontId="1" type="noConversion"/>
  </si>
  <si>
    <t>H3</t>
  </si>
  <si>
    <t>H4</t>
  </si>
  <si>
    <t>H5</t>
  </si>
  <si>
    <t>H6</t>
  </si>
  <si>
    <t>H7</t>
  </si>
  <si>
    <t>H8</t>
  </si>
  <si>
    <t>H9</t>
  </si>
  <si>
    <t>W2</t>
    <phoneticPr fontId="1" type="noConversion"/>
  </si>
  <si>
    <t>有效波高</t>
    <phoneticPr fontId="1" type="noConversion"/>
  </si>
  <si>
    <t>能量周期</t>
    <phoneticPr fontId="1" type="noConversion"/>
  </si>
  <si>
    <t>T1</t>
    <phoneticPr fontId="1" type="noConversion"/>
  </si>
  <si>
    <t>T2</t>
    <phoneticPr fontId="1" type="noConversion"/>
  </si>
  <si>
    <t>T3</t>
  </si>
  <si>
    <t>T4</t>
  </si>
  <si>
    <t>T5</t>
  </si>
  <si>
    <t>T6</t>
  </si>
  <si>
    <t>T7</t>
  </si>
  <si>
    <t>T8</t>
  </si>
  <si>
    <t>T9</t>
  </si>
  <si>
    <t>T10</t>
  </si>
  <si>
    <t>平均流速</t>
    <phoneticPr fontId="1" type="noConversion"/>
  </si>
  <si>
    <t>平均能量密度</t>
    <phoneticPr fontId="1" type="noConversion"/>
  </si>
  <si>
    <t>S1</t>
    <phoneticPr fontId="1" type="noConversion"/>
  </si>
  <si>
    <t>S2</t>
    <phoneticPr fontId="1" type="noConversion"/>
  </si>
  <si>
    <t>S3</t>
  </si>
  <si>
    <t>S4</t>
  </si>
  <si>
    <t>S5</t>
  </si>
  <si>
    <t>S6</t>
  </si>
  <si>
    <t>S7</t>
  </si>
  <si>
    <t>S8</t>
  </si>
  <si>
    <t>S9</t>
  </si>
  <si>
    <t>S10</t>
  </si>
  <si>
    <t>光能</t>
    <phoneticPr fontId="1" type="noConversion"/>
  </si>
  <si>
    <t>光能（J/m^2)</t>
    <phoneticPr fontId="1" type="noConversion"/>
  </si>
  <si>
    <t>风能</t>
    <phoneticPr fontId="1" type="noConversion"/>
  </si>
  <si>
    <t>潮流</t>
    <phoneticPr fontId="1" type="noConversion"/>
  </si>
  <si>
    <t>光伏</t>
    <phoneticPr fontId="1" type="noConversion"/>
  </si>
  <si>
    <t>光能（Wh/m^2)</t>
    <phoneticPr fontId="1" type="noConversion"/>
  </si>
  <si>
    <t>MySE5.5-155</t>
    <phoneticPr fontId="1" type="noConversion"/>
  </si>
  <si>
    <t>GW 171/6450</t>
  </si>
  <si>
    <t>SWT-6.0-154</t>
  </si>
  <si>
    <t>SWT-7.0-154</t>
  </si>
  <si>
    <t>Repower 5M</t>
  </si>
  <si>
    <t>V150/4000</t>
  </si>
  <si>
    <t>HTW5.2-136</t>
  </si>
  <si>
    <t>SG 8.0-167 DD</t>
  </si>
  <si>
    <t>W3600-116</t>
  </si>
  <si>
    <t>U133</t>
    <phoneticPr fontId="1" type="noConversion"/>
  </si>
  <si>
    <t>D10000-185</t>
  </si>
  <si>
    <t>涡轮机直径(m)</t>
    <phoneticPr fontId="1" type="noConversion"/>
  </si>
  <si>
    <t>扫风面积m^2</t>
    <phoneticPr fontId="1" type="noConversion"/>
  </si>
  <si>
    <t>年发电量MWh：</t>
    <phoneticPr fontId="1" type="noConversion"/>
  </si>
  <si>
    <t>平均风能密度W1</t>
    <phoneticPr fontId="1" type="noConversion"/>
  </si>
  <si>
    <t>平均风能密度W2</t>
  </si>
  <si>
    <t>平均风能密度W3</t>
  </si>
  <si>
    <t>平均风能密度W4</t>
  </si>
  <si>
    <t>平均风能密度W5</t>
  </si>
  <si>
    <t>平均风能密度W6</t>
  </si>
  <si>
    <t>平均风能密度W7</t>
  </si>
  <si>
    <t>平均风能密度W8</t>
  </si>
  <si>
    <t>平均风能密度W9</t>
  </si>
  <si>
    <t>平均风能密度W10</t>
  </si>
  <si>
    <t>W7</t>
  </si>
  <si>
    <t>W10</t>
  </si>
  <si>
    <t>容量系数</t>
    <phoneticPr fontId="1" type="noConversion"/>
  </si>
  <si>
    <t>额定功率</t>
  </si>
  <si>
    <t>V150/4000</t>
    <phoneticPr fontId="1" type="noConversion"/>
  </si>
  <si>
    <t>SWT-7.0-154</t>
    <phoneticPr fontId="1" type="noConversion"/>
  </si>
  <si>
    <t>Repower 5M</t>
    <phoneticPr fontId="1" type="noConversion"/>
  </si>
  <si>
    <t>极值风速EWS</t>
    <phoneticPr fontId="1" type="noConversion"/>
  </si>
  <si>
    <r>
      <t>风能富集程度</t>
    </r>
    <r>
      <rPr>
        <sz val="10.5"/>
        <color theme="1"/>
        <rFont val="Calibri"/>
        <family val="2"/>
      </rPr>
      <t>(RLO)</t>
    </r>
    <phoneticPr fontId="1" type="noConversion"/>
  </si>
  <si>
    <t>离岸距离（DC)</t>
    <phoneticPr fontId="1" type="noConversion"/>
  </si>
  <si>
    <t>月变化系数MVI</t>
    <phoneticPr fontId="1" type="noConversion"/>
  </si>
  <si>
    <t>变异系数CV</t>
    <phoneticPr fontId="1" type="noConversion"/>
  </si>
  <si>
    <t>水深WD</t>
    <phoneticPr fontId="1" type="noConversion"/>
  </si>
  <si>
    <t>平均风能密度</t>
    <phoneticPr fontId="1" type="noConversion"/>
  </si>
  <si>
    <t>归一化数据：</t>
    <phoneticPr fontId="1" type="noConversion"/>
  </si>
  <si>
    <t>D10000-185</t>
    <phoneticPr fontId="1" type="noConversion"/>
  </si>
  <si>
    <t>风能富集程度(RLO)</t>
    <phoneticPr fontId="1" type="noConversion"/>
  </si>
  <si>
    <t>指数：F</t>
    <phoneticPr fontId="1" type="noConversion"/>
  </si>
  <si>
    <t>极值风速</t>
    <phoneticPr fontId="1" type="noConversion"/>
  </si>
  <si>
    <t>NNU-300kW</t>
  </si>
  <si>
    <t>ZJU-600kW</t>
  </si>
  <si>
    <t>O2</t>
  </si>
  <si>
    <t>AR1500</t>
  </si>
  <si>
    <t>SeaGen S 2MW</t>
  </si>
  <si>
    <t>SeaGen 1.2MW</t>
  </si>
  <si>
    <t>HyTide 110-5.3</t>
  </si>
  <si>
    <t>HyTide 1000-16</t>
  </si>
  <si>
    <t>Sabella D10</t>
  </si>
  <si>
    <t>GE-Alstom1MW</t>
  </si>
  <si>
    <t>Nova's M100-D</t>
  </si>
  <si>
    <t>T-2</t>
  </si>
  <si>
    <t>SR2000</t>
  </si>
  <si>
    <t>平均能量密度W/m^2</t>
    <phoneticPr fontId="1" type="noConversion"/>
  </si>
  <si>
    <t>直径m</t>
    <phoneticPr fontId="1" type="noConversion"/>
  </si>
  <si>
    <t>*2</t>
  </si>
  <si>
    <t>*2</t>
    <phoneticPr fontId="1" type="noConversion"/>
  </si>
  <si>
    <t>平均能量密度W/m^2 T1</t>
    <phoneticPr fontId="1" type="noConversion"/>
  </si>
  <si>
    <t>AEP(MWh)</t>
    <phoneticPr fontId="1" type="noConversion"/>
  </si>
  <si>
    <t>额定功率</t>
    <phoneticPr fontId="1" type="noConversion"/>
  </si>
  <si>
    <t>CF</t>
    <phoneticPr fontId="1" type="noConversion"/>
  </si>
  <si>
    <t>变异系数T1</t>
    <phoneticPr fontId="1" type="noConversion"/>
  </si>
  <si>
    <t>变异系数T2</t>
  </si>
  <si>
    <t>变异系数T3</t>
  </si>
  <si>
    <t>变异系数T4</t>
  </si>
  <si>
    <t>变异系数T5</t>
  </si>
  <si>
    <t>变异系数T6</t>
  </si>
  <si>
    <t>变异系数T7</t>
  </si>
  <si>
    <t>变异系数T8</t>
  </si>
  <si>
    <t>变异系数T9</t>
  </si>
  <si>
    <t>变异系数T10</t>
  </si>
  <si>
    <t>扫风面积*0.4</t>
    <phoneticPr fontId="1" type="noConversion"/>
  </si>
  <si>
    <t>变异系数</t>
    <phoneticPr fontId="1" type="noConversion"/>
  </si>
  <si>
    <t>SE-S235</t>
    <phoneticPr fontId="1" type="noConversion"/>
  </si>
  <si>
    <t>SE-M240</t>
  </si>
  <si>
    <t>WT 255M17</t>
  </si>
  <si>
    <t>HIT-H250E01</t>
  </si>
  <si>
    <t>面积</t>
    <phoneticPr fontId="1" type="noConversion"/>
  </si>
  <si>
    <t>效率</t>
    <phoneticPr fontId="1" type="noConversion"/>
  </si>
  <si>
    <t>年发电量KWh</t>
    <phoneticPr fontId="1" type="noConversion"/>
  </si>
  <si>
    <r>
      <rPr>
        <sz val="12"/>
        <color theme="1"/>
        <rFont val="等线"/>
        <family val="2"/>
      </rPr>
      <t>容量系数</t>
    </r>
    <phoneticPr fontId="1" type="noConversion"/>
  </si>
  <si>
    <t>SPR-22-345</t>
    <phoneticPr fontId="1" type="noConversion"/>
  </si>
  <si>
    <t>MA100T2</t>
    <phoneticPr fontId="1" type="noConversion"/>
  </si>
  <si>
    <t>小时发电量(KWh)</t>
    <phoneticPr fontId="1" type="noConversion"/>
  </si>
  <si>
    <t>小时发电量KWh</t>
    <phoneticPr fontId="1" type="noConversion"/>
  </si>
  <si>
    <t>100个小时发电量KWh</t>
    <phoneticPr fontId="1" type="noConversion"/>
  </si>
  <si>
    <t>波浪</t>
    <phoneticPr fontId="1" type="noConversion"/>
  </si>
  <si>
    <t>位置编号</t>
  </si>
  <si>
    <r>
      <t>经度</t>
    </r>
    <r>
      <rPr>
        <sz val="10.5"/>
        <rFont val="Calibri"/>
        <family val="2"/>
      </rPr>
      <t>(°E)</t>
    </r>
  </si>
  <si>
    <r>
      <t>纬度</t>
    </r>
    <r>
      <rPr>
        <sz val="10.5"/>
        <rFont val="Calibri"/>
        <family val="2"/>
      </rPr>
      <t>(°N)</t>
    </r>
  </si>
  <si>
    <t>平均发电量（kW):</t>
    <phoneticPr fontId="12" type="noConversion"/>
  </si>
  <si>
    <t>Archimedes Waveswing</t>
    <phoneticPr fontId="12" type="noConversion"/>
  </si>
  <si>
    <t>Aquabuoy</t>
    <phoneticPr fontId="12" type="noConversion"/>
  </si>
  <si>
    <t>RM5</t>
    <phoneticPr fontId="12" type="noConversion"/>
  </si>
  <si>
    <t xml:space="preserve">Wavestar C6 </t>
    <phoneticPr fontId="12" type="noConversion"/>
  </si>
  <si>
    <t>Wave Dragon</t>
    <phoneticPr fontId="12" type="noConversion"/>
  </si>
  <si>
    <t>SeaPower</t>
    <phoneticPr fontId="12" type="noConversion"/>
  </si>
  <si>
    <t>OE buoy</t>
    <phoneticPr fontId="12" type="noConversion"/>
  </si>
  <si>
    <t>Langlee</t>
    <phoneticPr fontId="12" type="noConversion"/>
  </si>
  <si>
    <t>CycWEC</t>
    <phoneticPr fontId="12" type="noConversion"/>
  </si>
  <si>
    <t>年发电量(MWh):</t>
    <phoneticPr fontId="12" type="noConversion"/>
  </si>
  <si>
    <t>极值波高</t>
  </si>
  <si>
    <t>ROC</t>
  </si>
  <si>
    <t>MVI</t>
    <phoneticPr fontId="12" type="noConversion"/>
  </si>
  <si>
    <t>容量系数：</t>
    <phoneticPr fontId="12" type="noConversion"/>
  </si>
  <si>
    <t>AEP/AEPmax</t>
    <phoneticPr fontId="12" type="noConversion"/>
  </si>
  <si>
    <t>Hmax/H</t>
    <phoneticPr fontId="12" type="noConversion"/>
  </si>
  <si>
    <t>MVI*2.718^ROC</t>
    <phoneticPr fontId="12" type="noConversion"/>
  </si>
  <si>
    <t>OIF</t>
    <phoneticPr fontId="12" type="noConversion"/>
  </si>
  <si>
    <t>小时发电量(KWh):</t>
    <phoneticPr fontId="12" type="noConversion"/>
  </si>
  <si>
    <t>H1</t>
  </si>
  <si>
    <t>H2</t>
  </si>
  <si>
    <t>H10</t>
  </si>
  <si>
    <t>额定功率</t>
    <phoneticPr fontId="12" type="noConversion"/>
  </si>
  <si>
    <t>sum</t>
    <phoneticPr fontId="1" type="noConversion"/>
  </si>
  <si>
    <t>互补发电KW</t>
    <phoneticPr fontId="1" type="noConversion"/>
  </si>
  <si>
    <t>理论最大</t>
    <phoneticPr fontId="1" type="noConversion"/>
  </si>
  <si>
    <t>理论最小</t>
    <phoneticPr fontId="1" type="noConversion"/>
  </si>
  <si>
    <t>风</t>
    <phoneticPr fontId="1" type="noConversion"/>
  </si>
  <si>
    <t>波</t>
    <phoneticPr fontId="1" type="noConversion"/>
  </si>
  <si>
    <t>光</t>
    <phoneticPr fontId="1" type="noConversion"/>
  </si>
  <si>
    <t>流</t>
    <phoneticPr fontId="1" type="noConversion"/>
  </si>
  <si>
    <t>MySE5.5-155</t>
  </si>
  <si>
    <t>GWH266-14</t>
  </si>
  <si>
    <t>/</t>
  </si>
  <si>
    <t>EN252-12</t>
  </si>
  <si>
    <t>EN-226/8.5</t>
  </si>
  <si>
    <t>EN-252/10.5</t>
  </si>
  <si>
    <t>EN-252/11.5</t>
  </si>
  <si>
    <t>EN-252/14</t>
  </si>
  <si>
    <t>EN-256/16</t>
  </si>
  <si>
    <t>(MW)</t>
  </si>
  <si>
    <t>(m)</t>
  </si>
  <si>
    <t>(m/s)</t>
  </si>
  <si>
    <t>Cp</t>
    <phoneticPr fontId="1" type="noConversion"/>
  </si>
  <si>
    <r>
      <rPr>
        <sz val="12"/>
        <rFont val="宋体"/>
        <family val="3"/>
        <charset val="134"/>
      </rPr>
      <t>风机型号</t>
    </r>
  </si>
  <si>
    <r>
      <rPr>
        <sz val="12"/>
        <rFont val="宋体"/>
        <family val="3"/>
        <charset val="134"/>
      </rPr>
      <t>额定功率</t>
    </r>
  </si>
  <si>
    <r>
      <rPr>
        <sz val="12"/>
        <rFont val="宋体"/>
        <family val="3"/>
        <charset val="134"/>
      </rPr>
      <t>涡轮机直径</t>
    </r>
  </si>
  <si>
    <r>
      <rPr>
        <sz val="12"/>
        <rFont val="宋体"/>
        <family val="3"/>
        <charset val="134"/>
      </rPr>
      <t>切入风速</t>
    </r>
    <r>
      <rPr>
        <sz val="12"/>
        <rFont val="Times New Roman"/>
        <family val="1"/>
      </rPr>
      <t xml:space="preserve"> (m/s)</t>
    </r>
  </si>
  <si>
    <r>
      <rPr>
        <sz val="12"/>
        <rFont val="宋体"/>
        <family val="3"/>
        <charset val="134"/>
      </rPr>
      <t>额定风速</t>
    </r>
  </si>
  <si>
    <r>
      <rPr>
        <sz val="12"/>
        <rFont val="宋体"/>
        <family val="3"/>
        <charset val="134"/>
      </rPr>
      <t>切出风速</t>
    </r>
    <r>
      <rPr>
        <sz val="12"/>
        <rFont val="Times New Roman"/>
        <family val="1"/>
      </rPr>
      <t>(m/s)</t>
    </r>
  </si>
  <si>
    <r>
      <rPr>
        <sz val="12"/>
        <rFont val="宋体"/>
        <family val="3"/>
        <charset val="134"/>
      </rPr>
      <t>承受最大风速</t>
    </r>
    <r>
      <rPr>
        <sz val="12"/>
        <rFont val="Times New Roman"/>
        <family val="1"/>
      </rPr>
      <t>(m/s)</t>
    </r>
  </si>
  <si>
    <r>
      <rPr>
        <sz val="12"/>
        <rFont val="等线"/>
        <family val="2"/>
      </rPr>
      <t>风速</t>
    </r>
    <phoneticPr fontId="1" type="noConversion"/>
  </si>
  <si>
    <t>发电量max</t>
    <phoneticPr fontId="1" type="noConversion"/>
  </si>
  <si>
    <t>容量系数Max</t>
    <phoneticPr fontId="1" type="noConversion"/>
  </si>
  <si>
    <t>年发电量AEP归一化：</t>
    <phoneticPr fontId="1" type="noConversion"/>
  </si>
  <si>
    <t>容量系数CF归一化：</t>
    <phoneticPr fontId="1" type="noConversion"/>
  </si>
  <si>
    <r>
      <t>N</t>
    </r>
    <r>
      <rPr>
        <sz val="10.5"/>
        <color rgb="FFFF0000"/>
        <rFont val="宋体"/>
        <family val="3"/>
        <charset val="134"/>
      </rPr>
      <t>型单晶</t>
    </r>
    <r>
      <rPr>
        <sz val="10.5"/>
        <color rgb="FFFF0000"/>
        <rFont val="Times New Roman"/>
        <family val="1"/>
      </rPr>
      <t>210</t>
    </r>
  </si>
  <si>
    <r>
      <t>N</t>
    </r>
    <r>
      <rPr>
        <sz val="10.5"/>
        <color rgb="FFFF0000"/>
        <rFont val="宋体"/>
        <family val="3"/>
        <charset val="134"/>
      </rPr>
      <t>型单晶</t>
    </r>
    <r>
      <rPr>
        <sz val="10.5"/>
        <color rgb="FFFF0000"/>
        <rFont val="Times New Roman"/>
        <family val="1"/>
      </rPr>
      <t>182</t>
    </r>
  </si>
  <si>
    <r>
      <t>P</t>
    </r>
    <r>
      <rPr>
        <sz val="10.5"/>
        <color rgb="FFFF0000"/>
        <rFont val="宋体"/>
        <family val="3"/>
        <charset val="134"/>
      </rPr>
      <t>型单晶</t>
    </r>
    <r>
      <rPr>
        <sz val="10.5"/>
        <color rgb="FFFF0000"/>
        <rFont val="Times New Roman"/>
        <family val="1"/>
      </rPr>
      <t>210</t>
    </r>
  </si>
  <si>
    <t>JKM550N-7RL3</t>
    <phoneticPr fontId="1" type="noConversion"/>
  </si>
  <si>
    <t>JKM580N-7RL3</t>
    <phoneticPr fontId="1" type="noConversion"/>
  </si>
  <si>
    <t>TSM-660DE20</t>
    <phoneticPr fontId="1" type="noConversion"/>
  </si>
  <si>
    <t>TSM-NEG21C.20</t>
    <phoneticPr fontId="1" type="noConversion"/>
  </si>
  <si>
    <t>风速WS (m/s)</t>
    <phoneticPr fontId="1" type="noConversion"/>
  </si>
  <si>
    <t>波高HS (m)</t>
    <phoneticPr fontId="1" type="noConversion"/>
  </si>
  <si>
    <t>WS Max</t>
    <phoneticPr fontId="1" type="noConversion"/>
  </si>
  <si>
    <t>HS Max</t>
    <phoneticPr fontId="1" type="noConversion"/>
  </si>
  <si>
    <t>SPD Max</t>
    <phoneticPr fontId="1" type="noConversion"/>
  </si>
  <si>
    <t>Original</t>
    <phoneticPr fontId="1" type="noConversion"/>
  </si>
  <si>
    <t>WPD</t>
    <phoneticPr fontId="1" type="noConversion"/>
  </si>
  <si>
    <t>Improved</t>
    <phoneticPr fontId="1" type="noConversion"/>
  </si>
  <si>
    <t>WD_max/WD</t>
    <phoneticPr fontId="1" type="noConversion"/>
  </si>
  <si>
    <t>WD</t>
    <phoneticPr fontId="1" type="noConversion"/>
  </si>
  <si>
    <t>Hmax/H</t>
  </si>
  <si>
    <t>e^RC</t>
  </si>
  <si>
    <t>SPD/SPDmax</t>
    <phoneticPr fontId="1" type="noConversion"/>
  </si>
  <si>
    <t>WSmax/WS</t>
    <phoneticPr fontId="1" type="noConversion"/>
  </si>
  <si>
    <t>HSmax/HS</t>
    <phoneticPr fontId="1" type="noConversion"/>
  </si>
  <si>
    <t>OS</t>
    <phoneticPr fontId="1" type="noConversion"/>
  </si>
  <si>
    <t>OS MAX</t>
    <phoneticPr fontId="1" type="noConversion"/>
  </si>
  <si>
    <t>OSmax/OS</t>
    <phoneticPr fontId="1" type="noConversion"/>
  </si>
  <si>
    <t>WD MAX</t>
    <phoneticPr fontId="1" type="noConversion"/>
  </si>
  <si>
    <t>WDmax/WD</t>
    <phoneticPr fontId="1" type="noConversion"/>
  </si>
  <si>
    <t>AEP</t>
    <phoneticPr fontId="1" type="noConversion"/>
  </si>
  <si>
    <t>RLO</t>
    <phoneticPr fontId="1" type="noConversion"/>
  </si>
  <si>
    <t>CV</t>
    <phoneticPr fontId="1" type="noConversion"/>
  </si>
  <si>
    <t>MVI</t>
    <phoneticPr fontId="1" type="noConversion"/>
  </si>
  <si>
    <t>OD</t>
    <phoneticPr fontId="1" type="noConversion"/>
  </si>
  <si>
    <t>WD</t>
    <phoneticPr fontId="1" type="noConversion"/>
  </si>
  <si>
    <t>MWS</t>
    <phoneticPr fontId="1" type="noConversion"/>
  </si>
  <si>
    <t>MWH</t>
    <phoneticPr fontId="1" type="noConversion"/>
  </si>
  <si>
    <r>
      <t>RC(</t>
    </r>
    <r>
      <rPr>
        <sz val="12"/>
        <color theme="1"/>
        <rFont val="宋体"/>
        <family val="3"/>
        <charset val="134"/>
      </rPr>
      <t>绝对值</t>
    </r>
    <r>
      <rPr>
        <sz val="12"/>
        <color theme="1"/>
        <rFont val="Times New Roman"/>
        <family val="1"/>
      </rPr>
      <t>)</t>
    </r>
    <phoneticPr fontId="1" type="noConversion"/>
  </si>
  <si>
    <t>RC</t>
    <phoneticPr fontId="1" type="noConversion"/>
  </si>
  <si>
    <r>
      <t>SI_</t>
    </r>
    <r>
      <rPr>
        <vertAlign val="subscript"/>
        <sz val="11"/>
        <color theme="1"/>
        <rFont val="等线"/>
        <family val="3"/>
        <charset val="134"/>
        <scheme val="minor"/>
      </rPr>
      <t>OD,WD</t>
    </r>
    <phoneticPr fontId="1" type="noConversion"/>
  </si>
  <si>
    <t>SI</t>
    <phoneticPr fontId="1" type="noConversion"/>
  </si>
  <si>
    <t>SI_OD</t>
    <phoneticPr fontId="1" type="noConversion"/>
  </si>
  <si>
    <t>SI_WD</t>
    <phoneticPr fontId="1" type="noConversion"/>
  </si>
  <si>
    <t>S1</t>
  </si>
  <si>
    <t>S2</t>
  </si>
  <si>
    <r>
      <t>SI_</t>
    </r>
    <r>
      <rPr>
        <vertAlign val="subscript"/>
        <sz val="11"/>
        <color theme="1"/>
        <rFont val="等线"/>
        <family val="3"/>
        <charset val="134"/>
        <scheme val="minor"/>
      </rPr>
      <t>OD</t>
    </r>
    <phoneticPr fontId="1" type="noConversion"/>
  </si>
  <si>
    <r>
      <t>SI_</t>
    </r>
    <r>
      <rPr>
        <vertAlign val="subscript"/>
        <sz val="11"/>
        <color theme="1"/>
        <rFont val="等线"/>
        <family val="3"/>
        <charset val="134"/>
        <scheme val="minor"/>
      </rPr>
      <t>WD</t>
    </r>
    <phoneticPr fontId="1" type="noConversion"/>
  </si>
  <si>
    <t>Site ID</t>
    <phoneticPr fontId="1" type="noConversion"/>
  </si>
  <si>
    <r>
      <t>SI_</t>
    </r>
    <r>
      <rPr>
        <vertAlign val="subscript"/>
        <sz val="11"/>
        <color theme="1"/>
        <rFont val="等线"/>
        <family val="3"/>
        <charset val="134"/>
        <scheme val="minor"/>
      </rPr>
      <t>OD+WD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</si>
</sst>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0_ "/>
    <numFmt numFmtId="177" formatCode="0_ "/>
    <numFmt numFmtId="178" formatCode="0.00_);[Red]\(0.00\)"/>
    <numFmt numFmtId="179" formatCode="0.000_ "/>
    <numFmt numFmtId="180" formatCode="0.000_);[Red]\(0.000\)"/>
    <numFmt numFmtId="181" formatCode="0.0000_ "/>
    <numFmt numFmtId="182" formatCode="0.00000_ "/>
  </numFmts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仿宋"/>
      <family val="3"/>
      <charset val="134"/>
    </font>
    <font>
      <sz val="10.5"/>
      <color theme="1"/>
      <name val="仿宋"/>
      <family val="3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.5"/>
      <color theme="1"/>
      <name val="Calibri"/>
      <family val="2"/>
    </font>
    <font>
      <sz val="12"/>
      <color theme="1"/>
      <name val="Times New Roman"/>
      <family val="1"/>
    </font>
    <font>
      <sz val="12"/>
      <color theme="1"/>
      <name val="等线"/>
      <family val="2"/>
    </font>
    <font>
      <sz val="10.5"/>
      <name val="宋体"/>
      <family val="3"/>
      <charset val="134"/>
    </font>
    <font>
      <sz val="10.5"/>
      <name val="Calibri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等线"/>
      <family val="2"/>
    </font>
    <font>
      <sz val="11"/>
      <name val="等线"/>
      <family val="2"/>
      <scheme val="minor"/>
    </font>
    <font>
      <sz val="10.5"/>
      <color rgb="FFFF0000"/>
      <name val="Times New Roman"/>
      <family val="1"/>
    </font>
    <font>
      <sz val="10.5"/>
      <color rgb="FFFF0000"/>
      <name val="宋体"/>
      <family val="3"/>
      <charset val="134"/>
    </font>
    <font>
      <sz val="10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vertAlign val="subscript"/>
      <sz val="11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176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left"/>
    </xf>
    <xf numFmtId="178" fontId="5" fillId="0" borderId="0" xfId="0" applyNumberFormat="1" applyFont="1" applyAlignment="1">
      <alignment horizontal="left"/>
    </xf>
    <xf numFmtId="179" fontId="5" fillId="0" borderId="0" xfId="0" applyNumberFormat="1" applyFont="1" applyAlignment="1">
      <alignment horizontal="left"/>
    </xf>
    <xf numFmtId="180" fontId="5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9" fontId="0" fillId="0" borderId="0" xfId="0" applyNumberFormat="1"/>
    <xf numFmtId="0" fontId="7" fillId="0" borderId="0" xfId="0" applyFont="1"/>
    <xf numFmtId="0" fontId="7" fillId="0" borderId="0" xfId="0" applyFont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181" fontId="0" fillId="0" borderId="0" xfId="0" applyNumberFormat="1"/>
    <xf numFmtId="177" fontId="0" fillId="2" borderId="0" xfId="0" applyNumberFormat="1" applyFill="1"/>
    <xf numFmtId="176" fontId="0" fillId="2" borderId="0" xfId="0" applyNumberFormat="1" applyFill="1"/>
    <xf numFmtId="0" fontId="0" fillId="0" borderId="0" xfId="0" applyAlignment="1">
      <alignment horizontal="center" vertical="top"/>
    </xf>
    <xf numFmtId="0" fontId="9" fillId="0" borderId="0" xfId="0" applyFont="1" applyAlignment="1">
      <alignment horizontal="justify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177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82" fontId="0" fillId="0" borderId="0" xfId="0" applyNumberFormat="1" applyAlignment="1">
      <alignment vertical="center"/>
    </xf>
    <xf numFmtId="177" fontId="0" fillId="2" borderId="0" xfId="0" applyNumberFormat="1" applyFill="1" applyAlignment="1">
      <alignment vertical="center"/>
    </xf>
    <xf numFmtId="181" fontId="5" fillId="0" borderId="0" xfId="0" applyNumberFormat="1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/>
    <xf numFmtId="0" fontId="13" fillId="0" borderId="3" xfId="0" applyFont="1" applyBorder="1" applyAlignment="1">
      <alignment horizontal="center" vertical="center" wrapText="1"/>
    </xf>
    <xf numFmtId="176" fontId="13" fillId="0" borderId="0" xfId="0" applyNumberFormat="1" applyFont="1"/>
    <xf numFmtId="0" fontId="15" fillId="0" borderId="0" xfId="0" applyFont="1" applyAlignment="1">
      <alignment horizontal="center"/>
    </xf>
    <xf numFmtId="178" fontId="13" fillId="0" borderId="0" xfId="0" applyNumberFormat="1" applyFont="1"/>
    <xf numFmtId="178" fontId="13" fillId="2" borderId="0" xfId="0" applyNumberFormat="1" applyFont="1" applyFill="1"/>
    <xf numFmtId="178" fontId="13" fillId="0" borderId="0" xfId="0" applyNumberFormat="1" applyFont="1" applyAlignment="1">
      <alignment horizontal="center" vertical="center" wrapText="1"/>
    </xf>
    <xf numFmtId="178" fontId="13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178" fontId="21" fillId="0" borderId="0" xfId="0" applyNumberFormat="1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76" fontId="22" fillId="0" borderId="0" xfId="0" applyNumberFormat="1" applyFont="1" applyAlignment="1">
      <alignment horizontal="left" vertical="center" wrapText="1"/>
    </xf>
    <xf numFmtId="176" fontId="22" fillId="0" borderId="1" xfId="0" applyNumberFormat="1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风能选型最新!$M$1</c:f>
              <c:strCache>
                <c:ptCount val="1"/>
                <c:pt idx="0">
                  <c:v>MySE5.5-155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风能选型最新!$L$2:$L$11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风能选型最新!$M$2:$M$11</c:f>
              <c:numCache>
                <c:formatCode>0_ </c:formatCode>
                <c:ptCount val="10"/>
                <c:pt idx="0">
                  <c:v>18161.042066380804</c:v>
                </c:pt>
                <c:pt idx="1">
                  <c:v>18121.215219744005</c:v>
                </c:pt>
                <c:pt idx="2">
                  <c:v>18586.090653763204</c:v>
                </c:pt>
                <c:pt idx="3">
                  <c:v>17443.472157148804</c:v>
                </c:pt>
                <c:pt idx="4">
                  <c:v>16679.208703584001</c:v>
                </c:pt>
                <c:pt idx="5">
                  <c:v>17068.550462947202</c:v>
                </c:pt>
                <c:pt idx="6">
                  <c:v>17323.991617238404</c:v>
                </c:pt>
                <c:pt idx="7">
                  <c:v>16541.874749664003</c:v>
                </c:pt>
                <c:pt idx="8">
                  <c:v>17223.0511611072</c:v>
                </c:pt>
                <c:pt idx="9">
                  <c:v>16710.795512985602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D-44C4-B2EA-72C2ACB9F360}"/>
            </c:ext>
          </c:extLst>
        </c:ser>
        <c:ser>
          <c:idx val="1"/>
          <c:order val="1"/>
          <c:tx>
            <c:strRef>
              <c:f>风能选型最新!$N$1</c:f>
              <c:strCache>
                <c:ptCount val="1"/>
                <c:pt idx="0">
                  <c:v>GW 171/6450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风能选型最新!$L$2:$L$11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风能选型最新!$N$2:$N$11</c:f>
              <c:numCache>
                <c:formatCode>0_ </c:formatCode>
                <c:ptCount val="10"/>
                <c:pt idx="0">
                  <c:v>21272.513662195204</c:v>
                </c:pt>
                <c:pt idx="1">
                  <c:v>21225.863412936</c:v>
                </c:pt>
                <c:pt idx="2">
                  <c:v>21770.384425840806</c:v>
                </c:pt>
                <c:pt idx="3">
                  <c:v>20432.004860887202</c:v>
                </c:pt>
                <c:pt idx="4">
                  <c:v>19536.802663896004</c:v>
                </c:pt>
                <c:pt idx="5">
                  <c:v>19992.849066136801</c:v>
                </c:pt>
                <c:pt idx="6">
                  <c:v>20292.0541131096</c:v>
                </c:pt>
                <c:pt idx="7">
                  <c:v>19375.939735415999</c:v>
                </c:pt>
                <c:pt idx="8">
                  <c:v>20173.819860676798</c:v>
                </c:pt>
                <c:pt idx="9">
                  <c:v>19573.8011374464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D-44C4-B2EA-72C2ACB9F360}"/>
            </c:ext>
          </c:extLst>
        </c:ser>
        <c:ser>
          <c:idx val="2"/>
          <c:order val="2"/>
          <c:tx>
            <c:strRef>
              <c:f>风能选型最新!$O$1</c:f>
              <c:strCache>
                <c:ptCount val="1"/>
                <c:pt idx="0">
                  <c:v>GWH266-14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风能选型最新!$L$2:$L$11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风能选型最新!$O$2:$O$11</c:f>
              <c:numCache>
                <c:formatCode>0_ </c:formatCode>
                <c:ptCount val="10"/>
                <c:pt idx="0">
                  <c:v>51474.230590003215</c:v>
                </c:pt>
                <c:pt idx="1">
                  <c:v>51361.348505376001</c:v>
                </c:pt>
                <c:pt idx="2">
                  <c:v>52678.954906972809</c:v>
                </c:pt>
                <c:pt idx="3">
                  <c:v>49440.406823875208</c:v>
                </c:pt>
                <c:pt idx="4">
                  <c:v>47274.238544736007</c:v>
                </c:pt>
                <c:pt idx="5">
                  <c:v>48377.758234108798</c:v>
                </c:pt>
                <c:pt idx="6">
                  <c:v>49101.760569993596</c:v>
                </c:pt>
                <c:pt idx="7">
                  <c:v>46884.989977056008</c:v>
                </c:pt>
                <c:pt idx="8">
                  <c:v>48815.662872748799</c:v>
                </c:pt>
                <c:pt idx="9">
                  <c:v>47363.765715302412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AD-44C4-B2EA-72C2ACB9F360}"/>
            </c:ext>
          </c:extLst>
        </c:ser>
        <c:ser>
          <c:idx val="3"/>
          <c:order val="3"/>
          <c:tx>
            <c:strRef>
              <c:f>风能选型最新!$P$1</c:f>
              <c:strCache>
                <c:ptCount val="1"/>
                <c:pt idx="0">
                  <c:v>EN-226/8.5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风能选型最新!$L$2:$L$11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风能选型最新!$P$2:$P$11</c:f>
              <c:numCache>
                <c:formatCode>0_ </c:formatCode>
                <c:ptCount val="10"/>
                <c:pt idx="0">
                  <c:v>37157.241811507207</c:v>
                </c:pt>
                <c:pt idx="1">
                  <c:v>37075.756632096003</c:v>
                </c:pt>
                <c:pt idx="2">
                  <c:v>38026.885364188805</c:v>
                </c:pt>
                <c:pt idx="3">
                  <c:v>35689.103665219205</c:v>
                </c:pt>
                <c:pt idx="4">
                  <c:v>34125.431170656004</c:v>
                </c:pt>
                <c:pt idx="5">
                  <c:v>34922.019045244808</c:v>
                </c:pt>
                <c:pt idx="6">
                  <c:v>35444.648126985601</c:v>
                </c:pt>
                <c:pt idx="7">
                  <c:v>33844.447793376006</c:v>
                </c:pt>
                <c:pt idx="8">
                  <c:v>35238.125344684806</c:v>
                </c:pt>
                <c:pt idx="9">
                  <c:v>34190.057347430404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AD-44C4-B2EA-72C2ACB9F360}"/>
            </c:ext>
          </c:extLst>
        </c:ser>
        <c:ser>
          <c:idx val="4"/>
          <c:order val="4"/>
          <c:tx>
            <c:strRef>
              <c:f>风能选型最新!$Q$1</c:f>
              <c:strCache>
                <c:ptCount val="1"/>
                <c:pt idx="0">
                  <c:v>EN-252/14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风能选型最新!$L$2:$L$11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风能选型最新!$Q$2:$Q$11</c:f>
              <c:numCache>
                <c:formatCode>0_ </c:formatCode>
                <c:ptCount val="10"/>
                <c:pt idx="0">
                  <c:v>46198.478424268804</c:v>
                </c:pt>
                <c:pt idx="1">
                  <c:v>46097.165971584007</c:v>
                </c:pt>
                <c:pt idx="2">
                  <c:v>47279.726841715201</c:v>
                </c:pt>
                <c:pt idx="3">
                  <c:v>44373.107509516798</c:v>
                </c:pt>
                <c:pt idx="4">
                  <c:v>42428.956477824002</c:v>
                </c:pt>
                <c:pt idx="5">
                  <c:v>43419.373041139195</c:v>
                </c:pt>
                <c:pt idx="6">
                  <c:v>44069.170151462393</c:v>
                </c:pt>
                <c:pt idx="7">
                  <c:v>42079.603192704002</c:v>
                </c:pt>
                <c:pt idx="8">
                  <c:v>43812.3954868992</c:v>
                </c:pt>
                <c:pt idx="9">
                  <c:v>42509.307733401605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AD-44C4-B2EA-72C2ACB9F360}"/>
            </c:ext>
          </c:extLst>
        </c:ser>
        <c:ser>
          <c:idx val="5"/>
          <c:order val="5"/>
          <c:tx>
            <c:strRef>
              <c:f>风能选型最新!$R$1</c:f>
              <c:strCache>
                <c:ptCount val="1"/>
                <c:pt idx="0">
                  <c:v>EN-256/16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风能选型最新!$L$2:$L$11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风能选型最新!$R$2:$R$11</c:f>
              <c:numCache>
                <c:formatCode>0_ </c:formatCode>
                <c:ptCount val="10"/>
                <c:pt idx="0">
                  <c:v>47676.736615219219</c:v>
                </c:pt>
                <c:pt idx="1">
                  <c:v>47572.182368256006</c:v>
                </c:pt>
                <c:pt idx="2">
                  <c:v>48792.582802636811</c:v>
                </c:pt>
                <c:pt idx="3">
                  <c:v>45792.957510451211</c:v>
                </c:pt>
                <c:pt idx="4">
                  <c:v>43786.597564416006</c:v>
                </c:pt>
                <c:pt idx="5">
                  <c:v>44808.705461452802</c:v>
                </c:pt>
                <c:pt idx="6">
                  <c:v>45479.294769561609</c:v>
                </c:pt>
                <c:pt idx="7">
                  <c:v>43426.065678336003</c:v>
                </c:pt>
                <c:pt idx="8">
                  <c:v>45214.303833292812</c:v>
                </c:pt>
                <c:pt idx="9">
                  <c:v>43869.519898214407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AD-44C4-B2EA-72C2ACB9F360}"/>
            </c:ext>
          </c:extLst>
        </c:ser>
        <c:ser>
          <c:idx val="6"/>
          <c:order val="6"/>
          <c:tx>
            <c:strRef>
              <c:f>风能选型最新!$S$1</c:f>
              <c:strCache>
                <c:ptCount val="1"/>
                <c:pt idx="0">
                  <c:v>W3600-116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风能选型最新!$L$2:$L$11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风能选型最新!$S$2:$S$11</c:f>
              <c:numCache>
                <c:formatCode>0_ </c:formatCode>
                <c:ptCount val="10"/>
                <c:pt idx="0">
                  <c:v>9789.0955794432011</c:v>
                </c:pt>
                <c:pt idx="1">
                  <c:v>9767.628264576002</c:v>
                </c:pt>
                <c:pt idx="2">
                  <c:v>10018.203646732802</c:v>
                </c:pt>
                <c:pt idx="3">
                  <c:v>9402.3137857151996</c:v>
                </c:pt>
                <c:pt idx="4">
                  <c:v>8990.3634159360008</c:v>
                </c:pt>
                <c:pt idx="5">
                  <c:v>9200.2249250688001</c:v>
                </c:pt>
                <c:pt idx="6">
                  <c:v>9337.9118411136005</c:v>
                </c:pt>
                <c:pt idx="7">
                  <c:v>8916.3381922560002</c:v>
                </c:pt>
                <c:pt idx="8">
                  <c:v>9283.5033017088008</c:v>
                </c:pt>
                <c:pt idx="9">
                  <c:v>9007.3892173824006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AD-44C4-B2EA-72C2ACB9F360}"/>
            </c:ext>
          </c:extLst>
        </c:ser>
        <c:ser>
          <c:idx val="7"/>
          <c:order val="7"/>
          <c:tx>
            <c:strRef>
              <c:f>风能选型最新!$T$1</c:f>
              <c:strCache>
                <c:ptCount val="1"/>
                <c:pt idx="0">
                  <c:v>D10000-185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风能选型最新!$L$2:$L$11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风能选型最新!$T$2:$T$11</c:f>
              <c:numCache>
                <c:formatCode>0_ </c:formatCode>
                <c:ptCount val="10"/>
                <c:pt idx="0">
                  <c:v>24898.320169920007</c:v>
                </c:pt>
                <c:pt idx="1">
                  <c:v>24843.718590600001</c:v>
                </c:pt>
                <c:pt idx="2">
                  <c:v>25481.050818180003</c:v>
                </c:pt>
                <c:pt idx="3">
                  <c:v>23914.550335620002</c:v>
                </c:pt>
                <c:pt idx="4">
                  <c:v>22866.764856600006</c:v>
                </c:pt>
                <c:pt idx="5">
                  <c:v>23400.542364780002</c:v>
                </c:pt>
                <c:pt idx="6">
                  <c:v>23750.745597660003</c:v>
                </c:pt>
                <c:pt idx="7">
                  <c:v>22678.483548600001</c:v>
                </c:pt>
                <c:pt idx="8">
                  <c:v>23612.358836280004</c:v>
                </c:pt>
                <c:pt idx="9">
                  <c:v>22910.069557440002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AD-44C4-B2EA-72C2ACB9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420112"/>
        <c:axId val="787428752"/>
      </c:lineChart>
      <c:dateAx>
        <c:axId val="78742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altLang="zh-CN" sz="14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Site ID</a:t>
                </a:r>
                <a:endParaRPr lang="zh-CN" altLang="en-US" sz="1400" cap="none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7428752"/>
        <c:crosses val="autoZero"/>
        <c:auto val="0"/>
        <c:lblOffset val="100"/>
        <c:baseTimeUnit val="days"/>
        <c:majorUnit val="1"/>
        <c:minorUnit val="1"/>
      </c:dateAx>
      <c:valAx>
        <c:axId val="787428752"/>
        <c:scaling>
          <c:orientation val="minMax"/>
          <c:max val="55000"/>
          <c:min val="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AEP (MWh)</a:t>
                </a:r>
                <a:endParaRPr lang="zh-CN" sz="1400" cap="non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87420112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风能选型最新!$X$1</c:f>
              <c:strCache>
                <c:ptCount val="1"/>
                <c:pt idx="0">
                  <c:v>MySE5.5-155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风能选型最新!$W$2:$W$11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风能选型最新!$X$2:$X$11</c:f>
              <c:numCache>
                <c:formatCode>0.00_);[Red]\(0.00\)</c:formatCode>
                <c:ptCount val="10"/>
                <c:pt idx="0">
                  <c:v>0.37694151237818191</c:v>
                </c:pt>
                <c:pt idx="1">
                  <c:v>0.37611488625454553</c:v>
                </c:pt>
                <c:pt idx="2">
                  <c:v>0.38576360842181823</c:v>
                </c:pt>
                <c:pt idx="3">
                  <c:v>0.36204798997818188</c:v>
                </c:pt>
                <c:pt idx="4">
                  <c:v>0.346185319709091</c:v>
                </c:pt>
                <c:pt idx="5">
                  <c:v>0.35426630267636361</c:v>
                </c:pt>
                <c:pt idx="6">
                  <c:v>0.3595681116072727</c:v>
                </c:pt>
                <c:pt idx="7">
                  <c:v>0.34333488480000007</c:v>
                </c:pt>
                <c:pt idx="8">
                  <c:v>0.35747304194909096</c:v>
                </c:pt>
                <c:pt idx="9">
                  <c:v>0.34684091973818187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70-45F0-AE2C-0112DB36ED92}"/>
            </c:ext>
          </c:extLst>
        </c:ser>
        <c:ser>
          <c:idx val="1"/>
          <c:order val="1"/>
          <c:tx>
            <c:strRef>
              <c:f>风能选型最新!$Y$1</c:f>
              <c:strCache>
                <c:ptCount val="1"/>
                <c:pt idx="0">
                  <c:v>GW 171/6450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风能选型最新!$W$2:$W$11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风能选型最新!$Y$2:$Y$11</c:f>
              <c:numCache>
                <c:formatCode>0.00_);[Red]\(0.00\)</c:formatCode>
                <c:ptCount val="10"/>
                <c:pt idx="0">
                  <c:v>0.37131026598165151</c:v>
                </c:pt>
                <c:pt idx="1">
                  <c:v>0.37049598908256881</c:v>
                </c:pt>
                <c:pt idx="2">
                  <c:v>0.38000056599082577</c:v>
                </c:pt>
                <c:pt idx="3">
                  <c:v>0.35663924254128448</c:v>
                </c:pt>
                <c:pt idx="4">
                  <c:v>0.3410135496330276</c:v>
                </c:pt>
                <c:pt idx="5">
                  <c:v>0.34897380828440366</c:v>
                </c:pt>
                <c:pt idx="6">
                  <c:v>0.35419641184403666</c:v>
                </c:pt>
                <c:pt idx="7">
                  <c:v>0.33820569825688085</c:v>
                </c:pt>
                <c:pt idx="8">
                  <c:v>0.35213264108256881</c:v>
                </c:pt>
                <c:pt idx="9">
                  <c:v>0.34165935544954135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70-45F0-AE2C-0112DB36ED92}"/>
            </c:ext>
          </c:extLst>
        </c:ser>
        <c:ser>
          <c:idx val="2"/>
          <c:order val="2"/>
          <c:tx>
            <c:strRef>
              <c:f>风能选型最新!$Z$1</c:f>
              <c:strCache>
                <c:ptCount val="1"/>
                <c:pt idx="0">
                  <c:v>GWH266-14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风能选型最新!$W$2:$W$11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风能选型最新!$Z$2:$Z$11</c:f>
              <c:numCache>
                <c:formatCode>0.00_);[Red]\(0.00\)</c:formatCode>
                <c:ptCount val="10"/>
                <c:pt idx="0">
                  <c:v>0.4197181228800001</c:v>
                </c:pt>
                <c:pt idx="1">
                  <c:v>0.41879768840000003</c:v>
                </c:pt>
                <c:pt idx="2">
                  <c:v>0.42954138052000002</c:v>
                </c:pt>
                <c:pt idx="3">
                  <c:v>0.40313443267999999</c:v>
                </c:pt>
                <c:pt idx="4">
                  <c:v>0.38547161240000005</c:v>
                </c:pt>
                <c:pt idx="5">
                  <c:v>0.39446965291999997</c:v>
                </c:pt>
                <c:pt idx="6">
                  <c:v>0.40037312923999996</c:v>
                </c:pt>
                <c:pt idx="7">
                  <c:v>0.38229770040000005</c:v>
                </c:pt>
                <c:pt idx="8">
                  <c:v>0.39804030391999995</c:v>
                </c:pt>
                <c:pt idx="9">
                  <c:v>0.38620161215999999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70-45F0-AE2C-0112DB36ED92}"/>
            </c:ext>
          </c:extLst>
        </c:ser>
        <c:ser>
          <c:idx val="3"/>
          <c:order val="3"/>
          <c:tx>
            <c:strRef>
              <c:f>风能选型最新!$AA$1</c:f>
              <c:strCache>
                <c:ptCount val="1"/>
                <c:pt idx="0">
                  <c:v>EN-226/8.5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风能选型最新!$W$2:$W$11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风能选型最新!$AA$2:$AA$11</c:f>
              <c:numCache>
                <c:formatCode>0.00_);[Red]\(0.00\)</c:formatCode>
                <c:ptCount val="10"/>
                <c:pt idx="0">
                  <c:v>0.49902285537882363</c:v>
                </c:pt>
                <c:pt idx="1">
                  <c:v>0.49792850701176478</c:v>
                </c:pt>
                <c:pt idx="2">
                  <c:v>0.51070219398588257</c:v>
                </c:pt>
                <c:pt idx="3">
                  <c:v>0.47930571669647065</c:v>
                </c:pt>
                <c:pt idx="4">
                  <c:v>0.45830554889411773</c:v>
                </c:pt>
                <c:pt idx="5">
                  <c:v>0.46900374758588237</c:v>
                </c:pt>
                <c:pt idx="6">
                  <c:v>0.47602267159529416</c:v>
                </c:pt>
                <c:pt idx="7">
                  <c:v>0.45453193383529422</c:v>
                </c:pt>
                <c:pt idx="8">
                  <c:v>0.47324906452705889</c:v>
                </c:pt>
                <c:pt idx="9">
                  <c:v>0.45917348035764716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70-45F0-AE2C-0112DB36ED92}"/>
            </c:ext>
          </c:extLst>
        </c:ser>
        <c:ser>
          <c:idx val="4"/>
          <c:order val="4"/>
          <c:tx>
            <c:strRef>
              <c:f>风能选型最新!$AB$1</c:f>
              <c:strCache>
                <c:ptCount val="1"/>
                <c:pt idx="0">
                  <c:v>EN-252/14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风能选型最新!$W$2:$W$11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风能选型最新!$AB$2:$AB$11</c:f>
              <c:numCache>
                <c:formatCode>0.00_);[Red]\(0.00\)</c:formatCode>
                <c:ptCount val="10"/>
                <c:pt idx="0">
                  <c:v>0.37669992192000007</c:v>
                </c:pt>
                <c:pt idx="1">
                  <c:v>0.37587382559999999</c:v>
                </c:pt>
                <c:pt idx="2">
                  <c:v>0.38551636367999997</c:v>
                </c:pt>
                <c:pt idx="3">
                  <c:v>0.36181594512000004</c:v>
                </c:pt>
                <c:pt idx="4">
                  <c:v>0.34596344160000003</c:v>
                </c:pt>
                <c:pt idx="5">
                  <c:v>0.35403924527999997</c:v>
                </c:pt>
                <c:pt idx="6">
                  <c:v>0.35933765616000002</c:v>
                </c:pt>
                <c:pt idx="7">
                  <c:v>0.3431148336</c:v>
                </c:pt>
                <c:pt idx="8">
                  <c:v>0.35724392928000004</c:v>
                </c:pt>
                <c:pt idx="9">
                  <c:v>0.34661862144000005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70-45F0-AE2C-0112DB36ED92}"/>
            </c:ext>
          </c:extLst>
        </c:ser>
        <c:ser>
          <c:idx val="5"/>
          <c:order val="5"/>
          <c:tx>
            <c:strRef>
              <c:f>风能选型最新!$AC$1</c:f>
              <c:strCache>
                <c:ptCount val="1"/>
                <c:pt idx="0">
                  <c:v>EN-256/16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风能选型最新!$W$2:$W$11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风能选型最新!$AC$2:$AC$11</c:f>
              <c:numCache>
                <c:formatCode>0.00_);[Red]\(0.00\)</c:formatCode>
                <c:ptCount val="10"/>
                <c:pt idx="0">
                  <c:v>0.34015936512000011</c:v>
                </c:pt>
                <c:pt idx="1">
                  <c:v>0.33941340160000005</c:v>
                </c:pt>
                <c:pt idx="2">
                  <c:v>0.34812059648000004</c:v>
                </c:pt>
                <c:pt idx="3">
                  <c:v>0.32671916032000003</c:v>
                </c:pt>
                <c:pt idx="4">
                  <c:v>0.31240437760000006</c:v>
                </c:pt>
                <c:pt idx="5">
                  <c:v>0.31969681408</c:v>
                </c:pt>
                <c:pt idx="6">
                  <c:v>0.32448126975999997</c:v>
                </c:pt>
                <c:pt idx="7">
                  <c:v>0.30983208960000008</c:v>
                </c:pt>
                <c:pt idx="8">
                  <c:v>0.32259063807999999</c:v>
                </c:pt>
                <c:pt idx="9">
                  <c:v>0.31299600384000004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70-45F0-AE2C-0112DB36ED92}"/>
            </c:ext>
          </c:extLst>
        </c:ser>
        <c:ser>
          <c:idx val="6"/>
          <c:order val="6"/>
          <c:tx>
            <c:strRef>
              <c:f>风能选型最新!$AD$1</c:f>
              <c:strCache>
                <c:ptCount val="1"/>
                <c:pt idx="0">
                  <c:v>W3600-116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风能选型最新!$W$2:$W$11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风能选型最新!$AD$2:$AD$11</c:f>
              <c:numCache>
                <c:formatCode>0.00_);[Red]\(0.00\)</c:formatCode>
                <c:ptCount val="10"/>
                <c:pt idx="0">
                  <c:v>0.31041018453333341</c:v>
                </c:pt>
                <c:pt idx="1">
                  <c:v>0.30972946044444449</c:v>
                </c:pt>
                <c:pt idx="2">
                  <c:v>0.31767515368888899</c:v>
                </c:pt>
                <c:pt idx="3">
                  <c:v>0.29814541431111113</c:v>
                </c:pt>
                <c:pt idx="4">
                  <c:v>0.28508255377777786</c:v>
                </c:pt>
                <c:pt idx="5">
                  <c:v>0.29173721857777779</c:v>
                </c:pt>
                <c:pt idx="6">
                  <c:v>0.29610324204444444</c:v>
                </c:pt>
                <c:pt idx="7">
                  <c:v>0.28273522933333339</c:v>
                </c:pt>
                <c:pt idx="8">
                  <c:v>0.29437795857777782</c:v>
                </c:pt>
                <c:pt idx="9">
                  <c:v>0.28562243840000001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70-45F0-AE2C-0112DB36ED92}"/>
            </c:ext>
          </c:extLst>
        </c:ser>
        <c:ser>
          <c:idx val="7"/>
          <c:order val="7"/>
          <c:tx>
            <c:strRef>
              <c:f>风能选型最新!$AE$1</c:f>
              <c:strCache>
                <c:ptCount val="1"/>
                <c:pt idx="0">
                  <c:v>D10000-185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风能选型最新!$W$2:$W$11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风能选型最新!$AE$2:$AE$11</c:f>
              <c:numCache>
                <c:formatCode>0.00_);[Red]\(0.00\)</c:formatCode>
                <c:ptCount val="10"/>
                <c:pt idx="0">
                  <c:v>0.28422739920000006</c:v>
                </c:pt>
                <c:pt idx="1">
                  <c:v>0.28360409350000004</c:v>
                </c:pt>
                <c:pt idx="2">
                  <c:v>0.29087957555000005</c:v>
                </c:pt>
                <c:pt idx="3">
                  <c:v>0.27299714995000002</c:v>
                </c:pt>
                <c:pt idx="4">
                  <c:v>0.26103612850000002</c:v>
                </c:pt>
                <c:pt idx="5">
                  <c:v>0.26712947905000001</c:v>
                </c:pt>
                <c:pt idx="6">
                  <c:v>0.27112723284999996</c:v>
                </c:pt>
                <c:pt idx="7">
                  <c:v>0.25888679850000001</c:v>
                </c:pt>
                <c:pt idx="8">
                  <c:v>0.26954747530000001</c:v>
                </c:pt>
                <c:pt idx="9">
                  <c:v>0.26153047440000005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A70-45F0-AE2C-0112DB36E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3320064"/>
        <c:axId val="863324864"/>
      </c:lineChart>
      <c:catAx>
        <c:axId val="86332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 cap="none" baseline="0">
                    <a:solidFill>
                      <a:schemeClr val="tx1"/>
                    </a:solidFill>
                  </a:rPr>
                  <a:t>Site ID</a:t>
                </a:r>
                <a:endParaRPr lang="zh-CN" altLang="en-US" sz="1400" cap="none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63324864"/>
        <c:crosses val="autoZero"/>
        <c:auto val="1"/>
        <c:lblAlgn val="ctr"/>
        <c:lblOffset val="100"/>
        <c:noMultiLvlLbl val="0"/>
      </c:catAx>
      <c:valAx>
        <c:axId val="863324864"/>
        <c:scaling>
          <c:orientation val="minMax"/>
          <c:min val="0.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aseline="0">
                    <a:solidFill>
                      <a:schemeClr val="tx1"/>
                    </a:solidFill>
                  </a:rPr>
                  <a:t>cf</a:t>
                </a:r>
                <a:endParaRPr lang="zh-CN" sz="140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_);[Red]\(0.00\)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6332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风能选型最新!$CD$1</c:f>
              <c:strCache>
                <c:ptCount val="1"/>
                <c:pt idx="0">
                  <c:v>MySE5.5-155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风能选型最新!$CC$2:$CC$11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风能选型最新!$CD$2:$CD$11</c:f>
              <c:numCache>
                <c:formatCode>General</c:formatCode>
                <c:ptCount val="10"/>
                <c:pt idx="0">
                  <c:v>0.59191307870270005</c:v>
                </c:pt>
                <c:pt idx="1">
                  <c:v>0.65913112268941731</c:v>
                </c:pt>
                <c:pt idx="2">
                  <c:v>0.67223592384384978</c:v>
                </c:pt>
                <c:pt idx="3">
                  <c:v>0.61905524228110564</c:v>
                </c:pt>
                <c:pt idx="4">
                  <c:v>0.58333895902609612</c:v>
                </c:pt>
                <c:pt idx="5">
                  <c:v>0.59251478858621187</c:v>
                </c:pt>
                <c:pt idx="6">
                  <c:v>0.65190346983937664</c:v>
                </c:pt>
                <c:pt idx="7">
                  <c:v>0.58073871699242041</c:v>
                </c:pt>
                <c:pt idx="8">
                  <c:v>0.65070381953561141</c:v>
                </c:pt>
                <c:pt idx="9">
                  <c:v>0.66027144235395197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7-4FFA-AF93-4B57B8FB3134}"/>
            </c:ext>
          </c:extLst>
        </c:ser>
        <c:ser>
          <c:idx val="1"/>
          <c:order val="1"/>
          <c:tx>
            <c:strRef>
              <c:f>风能选型最新!$CE$1</c:f>
              <c:strCache>
                <c:ptCount val="1"/>
                <c:pt idx="0">
                  <c:v>GW 171/6450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风能选型最新!$CC$2:$CC$11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风能选型最新!$CE$2:$CE$11</c:f>
              <c:numCache>
                <c:formatCode>General</c:formatCode>
                <c:ptCount val="10"/>
                <c:pt idx="0">
                  <c:v>0.60367407919900928</c:v>
                </c:pt>
                <c:pt idx="1">
                  <c:v>0.67086633151797137</c:v>
                </c:pt>
                <c:pt idx="2">
                  <c:v>0.68427218369085518</c:v>
                </c:pt>
                <c:pt idx="3">
                  <c:v>0.63035154807389682</c:v>
                </c:pt>
                <c:pt idx="4">
                  <c:v>0.59414033160834623</c:v>
                </c:pt>
                <c:pt idx="5">
                  <c:v>0.60356829695496406</c:v>
                </c:pt>
                <c:pt idx="6">
                  <c:v>0.6631224006289026</c:v>
                </c:pt>
                <c:pt idx="7">
                  <c:v>0.59145115278930815</c:v>
                </c:pt>
                <c:pt idx="8">
                  <c:v>0.6618573817878961</c:v>
                </c:pt>
                <c:pt idx="9">
                  <c:v>0.67109327039683531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7-4FFA-AF93-4B57B8FB3134}"/>
            </c:ext>
          </c:extLst>
        </c:ser>
        <c:ser>
          <c:idx val="2"/>
          <c:order val="2"/>
          <c:tx>
            <c:strRef>
              <c:f>风能选型最新!$CF$1</c:f>
              <c:strCache>
                <c:ptCount val="1"/>
                <c:pt idx="0">
                  <c:v>GWH266-14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风能选型最新!$CC$2:$CC$11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风能选型最新!$CF$2:$CF$11</c:f>
              <c:numCache>
                <c:formatCode>General</c:formatCode>
                <c:ptCount val="10"/>
                <c:pt idx="0">
                  <c:v>0.7403915899095812</c:v>
                </c:pt>
                <c:pt idx="1">
                  <c:v>0.80729856259979194</c:v>
                </c:pt>
                <c:pt idx="2">
                  <c:v>0.82420314423241026</c:v>
                </c:pt>
                <c:pt idx="3">
                  <c:v>0.76172862409403663</c:v>
                </c:pt>
                <c:pt idx="4">
                  <c:v>0.71967367958020767</c:v>
                </c:pt>
                <c:pt idx="5">
                  <c:v>0.73203822336651436</c:v>
                </c:pt>
                <c:pt idx="6">
                  <c:v>0.79354163776278863</c:v>
                </c:pt>
                <c:pt idx="7">
                  <c:v>0.71599022617926866</c:v>
                </c:pt>
                <c:pt idx="8">
                  <c:v>0.7915606171040851</c:v>
                </c:pt>
                <c:pt idx="9">
                  <c:v>0.79689508152253397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7-4FFA-AF93-4B57B8FB3134}"/>
            </c:ext>
          </c:extLst>
        </c:ser>
        <c:ser>
          <c:idx val="3"/>
          <c:order val="3"/>
          <c:tx>
            <c:strRef>
              <c:f>风能选型最新!$CG$1</c:f>
              <c:strCache>
                <c:ptCount val="1"/>
                <c:pt idx="0">
                  <c:v>EN-226/8.5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风能选型最新!$CC$2:$CC$11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风能选型最新!$CG$2:$CG$11</c:f>
              <c:numCache>
                <c:formatCode>General</c:formatCode>
                <c:ptCount val="10"/>
                <c:pt idx="0">
                  <c:v>0.69796818505099978</c:v>
                </c:pt>
                <c:pt idx="1">
                  <c:v>0.76496819152379514</c:v>
                </c:pt>
                <c:pt idx="2">
                  <c:v>0.78078684434934831</c:v>
                </c:pt>
                <c:pt idx="3">
                  <c:v>0.72098143135271231</c:v>
                </c:pt>
                <c:pt idx="4">
                  <c:v>0.68071177304606723</c:v>
                </c:pt>
                <c:pt idx="5">
                  <c:v>0.69216683140607282</c:v>
                </c:pt>
                <c:pt idx="6">
                  <c:v>0.75307354636921819</c:v>
                </c:pt>
                <c:pt idx="7">
                  <c:v>0.67734912579197182</c:v>
                </c:pt>
                <c:pt idx="8">
                  <c:v>0.7513283182284447</c:v>
                </c:pt>
                <c:pt idx="9">
                  <c:v>0.75785938957461974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47-4FFA-AF93-4B57B8FB3134}"/>
            </c:ext>
          </c:extLst>
        </c:ser>
        <c:ser>
          <c:idx val="4"/>
          <c:order val="4"/>
          <c:tx>
            <c:strRef>
              <c:f>风能选型最新!$CH$1</c:f>
              <c:strCache>
                <c:ptCount val="1"/>
                <c:pt idx="0">
                  <c:v>EN-252/14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风能选型最新!$CC$2:$CC$11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风能选型最新!$CH$2:$CH$11</c:f>
              <c:numCache>
                <c:formatCode>General</c:formatCode>
                <c:ptCount val="10"/>
                <c:pt idx="0">
                  <c:v>0.70893781139261991</c:v>
                </c:pt>
                <c:pt idx="1">
                  <c:v>0.77591376166729775</c:v>
                </c:pt>
                <c:pt idx="2">
                  <c:v>0.79201320839156819</c:v>
                </c:pt>
                <c:pt idx="3">
                  <c:v>0.73151763136617931</c:v>
                </c:pt>
                <c:pt idx="4">
                  <c:v>0.69078634291289842</c:v>
                </c:pt>
                <c:pt idx="5">
                  <c:v>0.70247657134760533</c:v>
                </c:pt>
                <c:pt idx="6">
                  <c:v>0.76353757778833242</c:v>
                </c:pt>
                <c:pt idx="7">
                  <c:v>0.68734074325150107</c:v>
                </c:pt>
                <c:pt idx="8">
                  <c:v>0.76173137962819193</c:v>
                </c:pt>
                <c:pt idx="9">
                  <c:v>0.76795303849513052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47-4FFA-AF93-4B57B8FB3134}"/>
            </c:ext>
          </c:extLst>
        </c:ser>
        <c:ser>
          <c:idx val="5"/>
          <c:order val="5"/>
          <c:tx>
            <c:strRef>
              <c:f>风能选型最新!$CI$1</c:f>
              <c:strCache>
                <c:ptCount val="1"/>
                <c:pt idx="0">
                  <c:v>EN-256/16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风能选型最新!$CC$2:$CC$11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风能选型最新!$CI$2:$CI$11</c:f>
              <c:numCache>
                <c:formatCode>General</c:formatCode>
                <c:ptCount val="10"/>
                <c:pt idx="0">
                  <c:v>0.7071089863168587</c:v>
                </c:pt>
                <c:pt idx="1">
                  <c:v>0.77408894717284293</c:v>
                </c:pt>
                <c:pt idx="2">
                  <c:v>0.79014158073255314</c:v>
                </c:pt>
                <c:pt idx="3">
                  <c:v>0.72976106590188872</c:v>
                </c:pt>
                <c:pt idx="4">
                  <c:v>0.68910673912092024</c:v>
                </c:pt>
                <c:pt idx="5">
                  <c:v>0.70075776066595841</c:v>
                </c:pt>
                <c:pt idx="6">
                  <c:v>0.76179304406796111</c:v>
                </c:pt>
                <c:pt idx="7">
                  <c:v>0.68567496905023484</c:v>
                </c:pt>
                <c:pt idx="8">
                  <c:v>0.75999701065699399</c:v>
                </c:pt>
                <c:pt idx="9">
                  <c:v>0.76627025389728853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47-4FFA-AF93-4B57B8FB3134}"/>
            </c:ext>
          </c:extLst>
        </c:ser>
        <c:ser>
          <c:idx val="6"/>
          <c:order val="6"/>
          <c:tx>
            <c:strRef>
              <c:f>风能选型最新!$CJ$1</c:f>
              <c:strCache>
                <c:ptCount val="1"/>
                <c:pt idx="0">
                  <c:v>W3600-116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风能选型最新!$CC$2:$CC$11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风能选型最新!$CJ$2:$CJ$11</c:f>
              <c:numCache>
                <c:formatCode>General</c:formatCode>
                <c:ptCount val="10"/>
                <c:pt idx="0">
                  <c:v>0.542366139465284</c:v>
                </c:pt>
                <c:pt idx="1">
                  <c:v>0.60970737849418855</c:v>
                </c:pt>
                <c:pt idx="2">
                  <c:v>0.62154302372515868</c:v>
                </c:pt>
                <c:pt idx="3">
                  <c:v>0.57152745509689196</c:v>
                </c:pt>
                <c:pt idx="4">
                  <c:v>0.53780593187558057</c:v>
                </c:pt>
                <c:pt idx="5">
                  <c:v>0.54592514783362367</c:v>
                </c:pt>
                <c:pt idx="6">
                  <c:v>0.60464326778172484</c:v>
                </c:pt>
                <c:pt idx="7">
                  <c:v>0.53561994860806794</c:v>
                </c:pt>
                <c:pt idx="8">
                  <c:v>0.60376288767108965</c:v>
                </c:pt>
                <c:pt idx="9">
                  <c:v>0.61468291568721889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47-4FFA-AF93-4B57B8FB3134}"/>
            </c:ext>
          </c:extLst>
        </c:ser>
        <c:ser>
          <c:idx val="7"/>
          <c:order val="7"/>
          <c:tx>
            <c:strRef>
              <c:f>风能选型最新!$CK$1</c:f>
              <c:strCache>
                <c:ptCount val="1"/>
                <c:pt idx="0">
                  <c:v>D10000-185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风能选型最新!$CC$2:$CC$11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风能选型最新!$CK$2:$CK$11</c:f>
              <c:numCache>
                <c:formatCode>General</c:formatCode>
                <c:ptCount val="10"/>
                <c:pt idx="0">
                  <c:v>0.59973181543041321</c:v>
                </c:pt>
                <c:pt idx="1">
                  <c:v>0.66694725253834164</c:v>
                </c:pt>
                <c:pt idx="2">
                  <c:v>0.68025130984691284</c:v>
                </c:pt>
                <c:pt idx="3">
                  <c:v>0.62662652748581282</c:v>
                </c:pt>
                <c:pt idx="4">
                  <c:v>0.59049090878094157</c:v>
                </c:pt>
                <c:pt idx="5">
                  <c:v>0.59983994696645859</c:v>
                </c:pt>
                <c:pt idx="6">
                  <c:v>0.65936493440771726</c:v>
                </c:pt>
                <c:pt idx="7">
                  <c:v>0.58787112578592504</c:v>
                </c:pt>
                <c:pt idx="8">
                  <c:v>0.65816571149736669</c:v>
                </c:pt>
                <c:pt idx="9">
                  <c:v>0.66746766652990597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47-4FFA-AF93-4B57B8FB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238495"/>
        <c:axId val="1928238911"/>
      </c:lineChart>
      <c:catAx>
        <c:axId val="192823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Site ID</a:t>
                </a:r>
                <a:endParaRPr lang="zh-CN" altLang="en-US" sz="1400" cap="none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28238911"/>
        <c:crosses val="autoZero"/>
        <c:auto val="1"/>
        <c:lblAlgn val="ctr"/>
        <c:lblOffset val="100"/>
        <c:tickMarkSkip val="1"/>
        <c:noMultiLvlLbl val="0"/>
      </c:catAx>
      <c:valAx>
        <c:axId val="1928238911"/>
        <c:scaling>
          <c:orientation val="minMax"/>
          <c:min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B</a:t>
                </a:r>
                <a:endParaRPr lang="zh-CN" altLang="en-US" sz="1400" cap="none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2823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风能选型最新!$CO$1</c:f>
              <c:strCache>
                <c:ptCount val="1"/>
                <c:pt idx="0">
                  <c:v>MySE5.5-155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风能选型最新!$CN$2:$CN$11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风能选型最新!$CO$2:$CO$11</c:f>
              <c:numCache>
                <c:formatCode>General</c:formatCode>
                <c:ptCount val="10"/>
                <c:pt idx="0">
                  <c:v>0.60415112312894981</c:v>
                </c:pt>
                <c:pt idx="1">
                  <c:v>0.66375170497301605</c:v>
                </c:pt>
                <c:pt idx="2">
                  <c:v>0.69300450036727967</c:v>
                </c:pt>
                <c:pt idx="3">
                  <c:v>0.58935316709253349</c:v>
                </c:pt>
                <c:pt idx="4">
                  <c:v>0.5380358431970137</c:v>
                </c:pt>
                <c:pt idx="5">
                  <c:v>0.55454557085945433</c:v>
                </c:pt>
                <c:pt idx="6">
                  <c:v>0.6075674112712367</c:v>
                </c:pt>
                <c:pt idx="7">
                  <c:v>0.52942510234029672</c:v>
                </c:pt>
                <c:pt idx="8">
                  <c:v>0.66433459868033817</c:v>
                </c:pt>
                <c:pt idx="9">
                  <c:v>0.61903371276819774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C-4444-B74E-82F77195982B}"/>
            </c:ext>
          </c:extLst>
        </c:ser>
        <c:ser>
          <c:idx val="1"/>
          <c:order val="1"/>
          <c:tx>
            <c:strRef>
              <c:f>风能选型最新!$CP$1</c:f>
              <c:strCache>
                <c:ptCount val="1"/>
                <c:pt idx="0">
                  <c:v>GW 171/6450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风能选型最新!$CN$2:$CN$11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风能选型最新!$CP$2:$CP$11</c:f>
              <c:numCache>
                <c:formatCode>General</c:formatCode>
                <c:ptCount val="10"/>
                <c:pt idx="0">
                  <c:v>0.61447505046371165</c:v>
                </c:pt>
                <c:pt idx="1">
                  <c:v>0.67405299211625425</c:v>
                </c:pt>
                <c:pt idx="2">
                  <c:v>0.70357005319433663</c:v>
                </c:pt>
                <c:pt idx="3">
                  <c:v>0.59926918063174084</c:v>
                </c:pt>
                <c:pt idx="4">
                  <c:v>0.54751739926784571</c:v>
                </c:pt>
                <c:pt idx="5">
                  <c:v>0.56424845431983595</c:v>
                </c:pt>
                <c:pt idx="6">
                  <c:v>0.61741550423587321</c:v>
                </c:pt>
                <c:pt idx="7">
                  <c:v>0.53882858878518525</c:v>
                </c:pt>
                <c:pt idx="8">
                  <c:v>0.67412531046990631</c:v>
                </c:pt>
                <c:pt idx="9">
                  <c:v>0.62853322485299667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C-4444-B74E-82F77195982B}"/>
            </c:ext>
          </c:extLst>
        </c:ser>
        <c:ser>
          <c:idx val="2"/>
          <c:order val="2"/>
          <c:tx>
            <c:strRef>
              <c:f>风能选型最新!$CQ$1</c:f>
              <c:strCache>
                <c:ptCount val="1"/>
                <c:pt idx="0">
                  <c:v>GWH266-14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风能选型最新!$CN$2:$CN$11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风能选型最新!$CQ$2:$CQ$11</c:f>
              <c:numCache>
                <c:formatCode>General</c:formatCode>
                <c:ptCount val="10"/>
                <c:pt idx="0">
                  <c:v>0.73435930816270611</c:v>
                </c:pt>
                <c:pt idx="1">
                  <c:v>0.79368703214485614</c:v>
                </c:pt>
                <c:pt idx="2">
                  <c:v>0.82627204775493401</c:v>
                </c:pt>
                <c:pt idx="3">
                  <c:v>0.71447027513142136</c:v>
                </c:pt>
                <c:pt idx="4">
                  <c:v>0.65759466157533863</c:v>
                </c:pt>
                <c:pt idx="5">
                  <c:v>0.67690070661202828</c:v>
                </c:pt>
                <c:pt idx="6">
                  <c:v>0.73177694572437624</c:v>
                </c:pt>
                <c:pt idx="7">
                  <c:v>0.64803382464304871</c:v>
                </c:pt>
                <c:pt idx="8">
                  <c:v>0.78785871751793168</c:v>
                </c:pt>
                <c:pt idx="9">
                  <c:v>0.73884576324390427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6C-4444-B74E-82F77195982B}"/>
            </c:ext>
          </c:extLst>
        </c:ser>
        <c:ser>
          <c:idx val="3"/>
          <c:order val="3"/>
          <c:tx>
            <c:strRef>
              <c:f>风能选型最新!$CR$1</c:f>
              <c:strCache>
                <c:ptCount val="1"/>
                <c:pt idx="0">
                  <c:v>EN-226/8.5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风能选型最新!$CN$2:$CN$11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风能选型最新!$CR$2:$CR$11</c:f>
              <c:numCache>
                <c:formatCode>General</c:formatCode>
                <c:ptCount val="10"/>
                <c:pt idx="0">
                  <c:v>0.69705337449619054</c:v>
                </c:pt>
                <c:pt idx="1">
                  <c:v>0.75646290973638108</c:v>
                </c:pt>
                <c:pt idx="2">
                  <c:v>0.78809299048967463</c:v>
                </c:pt>
                <c:pt idx="3">
                  <c:v>0.67863835464856836</c:v>
                </c:pt>
                <c:pt idx="4">
                  <c:v>0.62333267092350619</c:v>
                </c:pt>
                <c:pt idx="5">
                  <c:v>0.6418389403859025</c:v>
                </c:pt>
                <c:pt idx="6">
                  <c:v>0.69619045901564514</c:v>
                </c:pt>
                <c:pt idx="7">
                  <c:v>0.61405394177756334</c:v>
                </c:pt>
                <c:pt idx="8">
                  <c:v>0.75247958003216553</c:v>
                </c:pt>
                <c:pt idx="9">
                  <c:v>0.70451888780121208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6C-4444-B74E-82F77195982B}"/>
            </c:ext>
          </c:extLst>
        </c:ser>
        <c:ser>
          <c:idx val="4"/>
          <c:order val="4"/>
          <c:tx>
            <c:strRef>
              <c:f>风能选型最新!$CS$1</c:f>
              <c:strCache>
                <c:ptCount val="1"/>
                <c:pt idx="0">
                  <c:v>EN-252/14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风能选型最新!$CN$2:$CN$11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风能选型最新!$CS$2:$CS$11</c:f>
              <c:numCache>
                <c:formatCode>General</c:formatCode>
                <c:ptCount val="10"/>
                <c:pt idx="0">
                  <c:v>0.70681406380754053</c:v>
                </c:pt>
                <c:pt idx="1">
                  <c:v>0.7662021940273116</c:v>
                </c:pt>
                <c:pt idx="2">
                  <c:v>0.79808212303619286</c:v>
                </c:pt>
                <c:pt idx="3">
                  <c:v>0.68801338454028904</c:v>
                </c:pt>
                <c:pt idx="4">
                  <c:v>0.63229694585441565</c:v>
                </c:pt>
                <c:pt idx="5">
                  <c:v>0.65101246784401756</c:v>
                </c:pt>
                <c:pt idx="6">
                  <c:v>0.70550127384610684</c:v>
                </c:pt>
                <c:pt idx="7">
                  <c:v>0.62294440629323267</c:v>
                </c:pt>
                <c:pt idx="8">
                  <c:v>0.76173614420742575</c:v>
                </c:pt>
                <c:pt idx="9">
                  <c:v>0.71350013912762678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6C-4444-B74E-82F77195982B}"/>
            </c:ext>
          </c:extLst>
        </c:ser>
        <c:ser>
          <c:idx val="5"/>
          <c:order val="5"/>
          <c:tx>
            <c:strRef>
              <c:f>风能选型最新!$CT$1</c:f>
              <c:strCache>
                <c:ptCount val="1"/>
                <c:pt idx="0">
                  <c:v>EN-256/16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风能选型最新!$CN$2:$CN$11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风能选型最新!$CT$2:$CT$11</c:f>
              <c:numCache>
                <c:formatCode>General</c:formatCode>
                <c:ptCount val="10"/>
                <c:pt idx="0">
                  <c:v>0.70525071052530286</c:v>
                </c:pt>
                <c:pt idx="1">
                  <c:v>0.76464226915139433</c:v>
                </c:pt>
                <c:pt idx="2">
                  <c:v>0.79648218038304963</c:v>
                </c:pt>
                <c:pt idx="3">
                  <c:v>0.68651180168227754</c:v>
                </c:pt>
                <c:pt idx="4">
                  <c:v>0.63086115293148926</c:v>
                </c:pt>
                <c:pt idx="5">
                  <c:v>0.6495431592937837</c:v>
                </c:pt>
                <c:pt idx="6">
                  <c:v>0.70400997620705752</c:v>
                </c:pt>
                <c:pt idx="7">
                  <c:v>0.62152043546106728</c:v>
                </c:pt>
                <c:pt idx="8">
                  <c:v>0.7602535358050857</c:v>
                </c:pt>
                <c:pt idx="9">
                  <c:v>0.71206162712382537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6C-4444-B74E-82F77195982B}"/>
            </c:ext>
          </c:extLst>
        </c:ser>
        <c:ser>
          <c:idx val="6"/>
          <c:order val="6"/>
          <c:tx>
            <c:strRef>
              <c:f>风能选型最新!$CU$1</c:f>
              <c:strCache>
                <c:ptCount val="1"/>
                <c:pt idx="0">
                  <c:v>W3600-116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风能选型最新!$CN$2:$CN$11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风能选型最新!$CU$2:$CU$11</c:f>
              <c:numCache>
                <c:formatCode>General</c:formatCode>
                <c:ptCount val="10"/>
                <c:pt idx="0">
                  <c:v>0.56075970418553456</c:v>
                </c:pt>
                <c:pt idx="1">
                  <c:v>0.62046812905359949</c:v>
                </c:pt>
                <c:pt idx="2">
                  <c:v>0.64860944639187823</c:v>
                </c:pt>
                <c:pt idx="3">
                  <c:v>0.5477298509090951</c:v>
                </c:pt>
                <c:pt idx="4">
                  <c:v>0.4981597560775507</c:v>
                </c:pt>
                <c:pt idx="5">
                  <c:v>0.51374412176400386</c:v>
                </c:pt>
                <c:pt idx="6">
                  <c:v>0.56617862415979447</c:v>
                </c:pt>
                <c:pt idx="7">
                  <c:v>0.48991168082082925</c:v>
                </c:pt>
                <c:pt idx="8">
                  <c:v>0.62322527578489262</c:v>
                </c:pt>
                <c:pt idx="9">
                  <c:v>0.57910892256073576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6C-4444-B74E-82F77195982B}"/>
            </c:ext>
          </c:extLst>
        </c:ser>
        <c:ser>
          <c:idx val="7"/>
          <c:order val="7"/>
          <c:tx>
            <c:strRef>
              <c:f>风能选型最新!$CV$1</c:f>
              <c:strCache>
                <c:ptCount val="1"/>
                <c:pt idx="0">
                  <c:v>D10000-185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风能选型最新!$CN$2:$CN$11</c:f>
              <c:strCache>
                <c:ptCount val="10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</c:strCache>
            </c:strRef>
          </c:cat>
          <c:val>
            <c:numRef>
              <c:f>风能选型最新!$CV$2:$CV$11</c:f>
              <c:numCache>
                <c:formatCode>General</c:formatCode>
                <c:ptCount val="10"/>
                <c:pt idx="0">
                  <c:v>0.61111444331847675</c:v>
                </c:pt>
                <c:pt idx="1">
                  <c:v>0.67071244112703965</c:v>
                </c:pt>
                <c:pt idx="2">
                  <c:v>0.70014270879778195</c:v>
                </c:pt>
                <c:pt idx="3">
                  <c:v>0.59609499905618113</c:v>
                </c:pt>
                <c:pt idx="4">
                  <c:v>0.54440584703108841</c:v>
                </c:pt>
                <c:pt idx="5">
                  <c:v>0.5610697324199152</c:v>
                </c:pt>
                <c:pt idx="6">
                  <c:v>0.61421249112837428</c:v>
                </c:pt>
                <c:pt idx="7">
                  <c:v>0.53577698881056679</c:v>
                </c:pt>
                <c:pt idx="8">
                  <c:v>0.67097926727507939</c:v>
                </c:pt>
                <c:pt idx="9">
                  <c:v>0.62544259359594756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6C-4444-B74E-82F771959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024927"/>
        <c:axId val="1338025759"/>
      </c:lineChart>
      <c:catAx>
        <c:axId val="133802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Site ID</a:t>
                </a:r>
                <a:endParaRPr lang="zh-CN" altLang="en-US" sz="1400" cap="none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38025759"/>
        <c:crosses val="autoZero"/>
        <c:auto val="1"/>
        <c:lblAlgn val="ctr"/>
        <c:lblOffset val="100"/>
        <c:noMultiLvlLbl val="0"/>
      </c:catAx>
      <c:valAx>
        <c:axId val="1338025759"/>
        <c:scaling>
          <c:orientation val="minMax"/>
          <c:min val="0.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I</a:t>
                </a:r>
                <a:endParaRPr lang="zh-CN" altLang="en-US" sz="1400" cap="none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3802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737962962962965E-2"/>
          <c:y val="2.350388888888889E-2"/>
          <c:w val="0.73111611111111108"/>
          <c:h val="0.84040944444444443"/>
        </c:manualLayout>
      </c:layout>
      <c:scatterChart>
        <c:scatterStyle val="lineMarker"/>
        <c:varyColors val="0"/>
        <c:ser>
          <c:idx val="0"/>
          <c:order val="0"/>
          <c:tx>
            <c:strRef>
              <c:f>风机功率曲线!$K$1</c:f>
              <c:strCache>
                <c:ptCount val="1"/>
                <c:pt idx="0">
                  <c:v>MySE5.5-155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风机功率曲线!$K$2:$K$36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 formatCode="0.00_);[Red]\(0.00\)">
                  <c:v>0.14421608404875003</c:v>
                </c:pt>
                <c:pt idx="3" formatCode="0.00_);[Red]\(0.00\)">
                  <c:v>0.34184553256000005</c:v>
                </c:pt>
                <c:pt idx="4" formatCode="0.00_);[Red]\(0.00\)">
                  <c:v>0.66766705578125007</c:v>
                </c:pt>
                <c:pt idx="5" formatCode="0.00_);[Red]\(0.00\)">
                  <c:v>1.1537286723900002</c:v>
                </c:pt>
                <c:pt idx="6" formatCode="0.00_);[Red]\(0.00\)">
                  <c:v>1.8320784010637505</c:v>
                </c:pt>
                <c:pt idx="7" formatCode="0.00_);[Red]\(0.00\)">
                  <c:v>2.7347642604800004</c:v>
                </c:pt>
                <c:pt idx="8" formatCode="0.00_);[Red]\(0.00\)">
                  <c:v>3.8938342693162511</c:v>
                </c:pt>
                <c:pt idx="9" formatCode="0.00_);[Red]\(0.00\)">
                  <c:v>5.3413364462500006</c:v>
                </c:pt>
                <c:pt idx="10" formatCode="0.00_);[Red]\(0.00\)">
                  <c:v>5.5</c:v>
                </c:pt>
                <c:pt idx="11" formatCode="0.00_);[Red]\(0.00\)">
                  <c:v>5.5</c:v>
                </c:pt>
                <c:pt idx="12" formatCode="0.00_);[Red]\(0.00\)">
                  <c:v>5.5</c:v>
                </c:pt>
                <c:pt idx="13" formatCode="0.00_);[Red]\(0.00\)">
                  <c:v>5.5</c:v>
                </c:pt>
                <c:pt idx="14" formatCode="0.00_);[Red]\(0.00\)">
                  <c:v>5.5</c:v>
                </c:pt>
                <c:pt idx="15" formatCode="0.00_);[Red]\(0.00\)">
                  <c:v>5.5</c:v>
                </c:pt>
                <c:pt idx="16" formatCode="0.00_);[Red]\(0.00\)">
                  <c:v>5.5</c:v>
                </c:pt>
                <c:pt idx="17" formatCode="0.00_);[Red]\(0.00\)">
                  <c:v>5.5</c:v>
                </c:pt>
                <c:pt idx="18" formatCode="0.00_);[Red]\(0.00\)">
                  <c:v>5.5</c:v>
                </c:pt>
                <c:pt idx="19" formatCode="0.00_);[Red]\(0.00\)">
                  <c:v>5.5</c:v>
                </c:pt>
                <c:pt idx="20" formatCode="0.00_);[Red]\(0.00\)">
                  <c:v>5.5</c:v>
                </c:pt>
                <c:pt idx="21" formatCode="0.00_);[Red]\(0.00\)">
                  <c:v>5.5</c:v>
                </c:pt>
                <c:pt idx="22" formatCode="0.00_);[Red]\(0.00\)">
                  <c:v>5.5</c:v>
                </c:pt>
                <c:pt idx="23" formatCode="0.00_);[Red]\(0.00\)">
                  <c:v>5.5</c:v>
                </c:pt>
                <c:pt idx="24" formatCode="0.00_);[Red]\(0.00\)">
                  <c:v>5.5</c:v>
                </c:pt>
                <c:pt idx="25" formatCode="0.00_);[Red]\(0.00\)">
                  <c:v>5.5</c:v>
                </c:pt>
                <c:pt idx="26" formatCode="0.00_);[Red]\(0.00\)">
                  <c:v>5.5</c:v>
                </c:pt>
                <c:pt idx="27" formatCode="0.00_);[Red]\(0.00\)">
                  <c:v>5.5</c:v>
                </c:pt>
                <c:pt idx="28" formatCode="0.00_);[Red]\(0.00\)">
                  <c:v>5.5</c:v>
                </c:pt>
                <c:pt idx="29" formatCode="0.00_);[Red]\(0.00\)">
                  <c:v>5.5</c:v>
                </c:pt>
                <c:pt idx="30" formatCode="0.00_);[Red]\(0.00\)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4-408F-BC96-ECA50F708662}"/>
            </c:ext>
          </c:extLst>
        </c:ser>
        <c:ser>
          <c:idx val="1"/>
          <c:order val="1"/>
          <c:tx>
            <c:strRef>
              <c:f>风机功率曲线!$L$1</c:f>
              <c:strCache>
                <c:ptCount val="1"/>
                <c:pt idx="0">
                  <c:v>GW 171/6450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风机功率曲线!$L$2:$L$36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 formatCode="0.00_);[Red]\(0.00\)">
                  <c:v>0.14994390960281251</c:v>
                </c:pt>
                <c:pt idx="3" formatCode="0.00_);[Red]\(0.00\)">
                  <c:v>0.35542260054000008</c:v>
                </c:pt>
                <c:pt idx="4" formatCode="0.00_);[Red]\(0.00\)">
                  <c:v>0.69418476667968765</c:v>
                </c:pt>
                <c:pt idx="5" formatCode="0.00_);[Red]\(0.00\)">
                  <c:v>1.1995512768225001</c:v>
                </c:pt>
                <c:pt idx="6" formatCode="0.00_);[Red]\(0.00\)">
                  <c:v>1.904842999769063</c:v>
                </c:pt>
                <c:pt idx="7" formatCode="0.00_);[Red]\(0.00\)">
                  <c:v>2.8433808043200006</c:v>
                </c:pt>
                <c:pt idx="8" formatCode="0.00_);[Red]\(0.00\)">
                  <c:v>4.0484855592759379</c:v>
                </c:pt>
                <c:pt idx="9" formatCode="0.00_);[Red]\(0.00\)">
                  <c:v>5.5534781334375012</c:v>
                </c:pt>
                <c:pt idx="10" formatCode="0.00_);[Red]\(0.00\)">
                  <c:v>6.45</c:v>
                </c:pt>
                <c:pt idx="11" formatCode="0.00_);[Red]\(0.00\)">
                  <c:v>6.45</c:v>
                </c:pt>
                <c:pt idx="12" formatCode="0.00_);[Red]\(0.00\)">
                  <c:v>6.45</c:v>
                </c:pt>
                <c:pt idx="13" formatCode="0.00_);[Red]\(0.00\)">
                  <c:v>6.45</c:v>
                </c:pt>
                <c:pt idx="14" formatCode="0.00_);[Red]\(0.00\)">
                  <c:v>6.45</c:v>
                </c:pt>
                <c:pt idx="15" formatCode="0.00_);[Red]\(0.00\)">
                  <c:v>6.45</c:v>
                </c:pt>
                <c:pt idx="16" formatCode="0.00_);[Red]\(0.00\)">
                  <c:v>6.45</c:v>
                </c:pt>
                <c:pt idx="17" formatCode="0.00_);[Red]\(0.00\)">
                  <c:v>6.45</c:v>
                </c:pt>
                <c:pt idx="18" formatCode="0.00_);[Red]\(0.00\)">
                  <c:v>6.45</c:v>
                </c:pt>
                <c:pt idx="19" formatCode="0.00_);[Red]\(0.00\)">
                  <c:v>6.45</c:v>
                </c:pt>
                <c:pt idx="20" formatCode="0.00_);[Red]\(0.00\)">
                  <c:v>6.45</c:v>
                </c:pt>
                <c:pt idx="21" formatCode="0.00_);[Red]\(0.00\)">
                  <c:v>6.45</c:v>
                </c:pt>
                <c:pt idx="22" formatCode="0.00_);[Red]\(0.00\)">
                  <c:v>6.45</c:v>
                </c:pt>
                <c:pt idx="23" formatCode="0.00_);[Red]\(0.00\)">
                  <c:v>6.45</c:v>
                </c:pt>
                <c:pt idx="24" formatCode="0.00_);[Red]\(0.00\)">
                  <c:v>6.45</c:v>
                </c:pt>
                <c:pt idx="25" formatCode="0.00_);[Red]\(0.00\)">
                  <c:v>0</c:v>
                </c:pt>
                <c:pt idx="26" formatCode="0.00_);[Red]\(0.00\)">
                  <c:v>0</c:v>
                </c:pt>
                <c:pt idx="27" formatCode="0.00_);[Red]\(0.00\)">
                  <c:v>0</c:v>
                </c:pt>
                <c:pt idx="28" formatCode="0.00_);[Red]\(0.00\)">
                  <c:v>0</c:v>
                </c:pt>
                <c:pt idx="29" formatCode="0.00_);[Red]\(0.00\)">
                  <c:v>0</c:v>
                </c:pt>
                <c:pt idx="30" formatCode="0.00_);[Red]\(0.00\)">
                  <c:v>0</c:v>
                </c:pt>
                <c:pt idx="31" formatCode="0.00_);[Red]\(0.00\)">
                  <c:v>0</c:v>
                </c:pt>
                <c:pt idx="32" formatCode="0.00_);[Red]\(0.00\)">
                  <c:v>0</c:v>
                </c:pt>
                <c:pt idx="33" formatCode="0.00_);[Red]\(0.00\)">
                  <c:v>0</c:v>
                </c:pt>
                <c:pt idx="34" formatCode="0.00_);[Red]\(0.00\)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14-408F-BC96-ECA50F708662}"/>
            </c:ext>
          </c:extLst>
        </c:ser>
        <c:ser>
          <c:idx val="2"/>
          <c:order val="2"/>
          <c:tx>
            <c:strRef>
              <c:f>风机功率曲线!$M$1</c:f>
              <c:strCache>
                <c:ptCount val="1"/>
                <c:pt idx="0">
                  <c:v>W3600-116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风机功率曲线!$M$2:$M$36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 formatCode="0.00_);[Red]\(0.00\)">
                  <c:v>0</c:v>
                </c:pt>
                <c:pt idx="3" formatCode="0.00_);[Red]\(0.00\)">
                  <c:v>0.13250177024000001</c:v>
                </c:pt>
                <c:pt idx="4" formatCode="0.00_);[Red]\(0.00\)">
                  <c:v>0.25879252000000003</c:v>
                </c:pt>
                <c:pt idx="5" formatCode="0.00_);[Red]\(0.00\)">
                  <c:v>0.44719347456000008</c:v>
                </c:pt>
                <c:pt idx="6" formatCode="0.00_);[Red]\(0.00\)">
                  <c:v>0.71012667488000003</c:v>
                </c:pt>
                <c:pt idx="7" formatCode="0.00_);[Red]\(0.00\)">
                  <c:v>1.0600141619200001</c:v>
                </c:pt>
                <c:pt idx="8" formatCode="0.00_);[Red]\(0.00\)">
                  <c:v>1.5092779766400002</c:v>
                </c:pt>
                <c:pt idx="9" formatCode="0.00_);[Red]\(0.00\)">
                  <c:v>2.0703401600000002</c:v>
                </c:pt>
                <c:pt idx="10" formatCode="0.00_);[Red]\(0.00\)">
                  <c:v>2.7556227529600004</c:v>
                </c:pt>
                <c:pt idx="11" formatCode="0.00_);[Red]\(0.00\)">
                  <c:v>3.6</c:v>
                </c:pt>
                <c:pt idx="12" formatCode="0.00_);[Red]\(0.00\)">
                  <c:v>3.6</c:v>
                </c:pt>
                <c:pt idx="13" formatCode="0.00_);[Red]\(0.00\)">
                  <c:v>3.6</c:v>
                </c:pt>
                <c:pt idx="14" formatCode="0.00_);[Red]\(0.00\)">
                  <c:v>3.6</c:v>
                </c:pt>
                <c:pt idx="15" formatCode="0.00_);[Red]\(0.00\)">
                  <c:v>3.6</c:v>
                </c:pt>
                <c:pt idx="16" formatCode="0.00_);[Red]\(0.00\)">
                  <c:v>3.6</c:v>
                </c:pt>
                <c:pt idx="17" formatCode="0.00_);[Red]\(0.00\)">
                  <c:v>3.6</c:v>
                </c:pt>
                <c:pt idx="18" formatCode="0.00_);[Red]\(0.00\)">
                  <c:v>3.6</c:v>
                </c:pt>
                <c:pt idx="19" formatCode="0.00_);[Red]\(0.00\)">
                  <c:v>3.6</c:v>
                </c:pt>
                <c:pt idx="20" formatCode="0.00_);[Red]\(0.00\)">
                  <c:v>3.6</c:v>
                </c:pt>
                <c:pt idx="21" formatCode="0.00_);[Red]\(0.00\)">
                  <c:v>3.6</c:v>
                </c:pt>
                <c:pt idx="22" formatCode="0.00_);[Red]\(0.00\)">
                  <c:v>3.6</c:v>
                </c:pt>
                <c:pt idx="23" formatCode="0.00_);[Red]\(0.00\)">
                  <c:v>3.6</c:v>
                </c:pt>
                <c:pt idx="24" formatCode="0.00_);[Red]\(0.00\)">
                  <c:v>3.6</c:v>
                </c:pt>
                <c:pt idx="25" formatCode="0.00_);[Red]\(0.00\)">
                  <c:v>0</c:v>
                </c:pt>
                <c:pt idx="26" formatCode="0.00_);[Red]\(0.00\)">
                  <c:v>0</c:v>
                </c:pt>
                <c:pt idx="27" formatCode="0.00_);[Red]\(0.00\)">
                  <c:v>0</c:v>
                </c:pt>
                <c:pt idx="28" formatCode="0.00_);[Red]\(0.00\)">
                  <c:v>0</c:v>
                </c:pt>
                <c:pt idx="29" formatCode="0.00_);[Red]\(0.00\)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_);[Red]\(0.00\)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14-408F-BC96-ECA50F708662}"/>
            </c:ext>
          </c:extLst>
        </c:ser>
        <c:ser>
          <c:idx val="3"/>
          <c:order val="3"/>
          <c:tx>
            <c:strRef>
              <c:f>风机功率曲线!$N$1</c:f>
              <c:strCache>
                <c:ptCount val="1"/>
                <c:pt idx="0">
                  <c:v>D10000-185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风机功率曲线!$N$2:$N$36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 formatCode="0.00_);[Red]\(0.00\)">
                  <c:v>0</c:v>
                </c:pt>
                <c:pt idx="3" formatCode="0.00_);[Red]\(0.00\)">
                  <c:v>0.42126868000000006</c:v>
                </c:pt>
                <c:pt idx="4" formatCode="0.00_);[Red]\(0.00\)">
                  <c:v>0.82279039062500015</c:v>
                </c:pt>
                <c:pt idx="5" formatCode="0.00_);[Red]\(0.00\)">
                  <c:v>1.4217817950000002</c:v>
                </c:pt>
                <c:pt idx="6" formatCode="0.00_);[Red]\(0.00\)">
                  <c:v>2.257736831875</c:v>
                </c:pt>
                <c:pt idx="7" formatCode="0.00_);[Red]\(0.00\)">
                  <c:v>3.3701494400000005</c:v>
                </c:pt>
                <c:pt idx="8" formatCode="0.00_);[Red]\(0.00\)">
                  <c:v>4.7985135581250002</c:v>
                </c:pt>
                <c:pt idx="9" formatCode="0.00_);[Red]\(0.00\)">
                  <c:v>6.5823231250000012</c:v>
                </c:pt>
                <c:pt idx="10" formatCode="0.00_);[Red]\(0.00\)">
                  <c:v>8.7610720793750012</c:v>
                </c:pt>
                <c:pt idx="11" formatCode="0.00_);[Red]\(0.00\)">
                  <c:v>10</c:v>
                </c:pt>
                <c:pt idx="12" formatCode="0.00_);[Red]\(0.00\)">
                  <c:v>10</c:v>
                </c:pt>
                <c:pt idx="13" formatCode="0.00_);[Red]\(0.00\)">
                  <c:v>10</c:v>
                </c:pt>
                <c:pt idx="14" formatCode="0.00_);[Red]\(0.00\)">
                  <c:v>10</c:v>
                </c:pt>
                <c:pt idx="15" formatCode="0.00_);[Red]\(0.00\)">
                  <c:v>10</c:v>
                </c:pt>
                <c:pt idx="16" formatCode="0.00_);[Red]\(0.00\)">
                  <c:v>10</c:v>
                </c:pt>
                <c:pt idx="17" formatCode="0.00_);[Red]\(0.00\)">
                  <c:v>10</c:v>
                </c:pt>
                <c:pt idx="18" formatCode="0.00_);[Red]\(0.00\)">
                  <c:v>10</c:v>
                </c:pt>
                <c:pt idx="19" formatCode="0.00_);[Red]\(0.00\)">
                  <c:v>10</c:v>
                </c:pt>
                <c:pt idx="20" formatCode="0.00_);[Red]\(0.00\)">
                  <c:v>10</c:v>
                </c:pt>
                <c:pt idx="21" formatCode="0.00_);[Red]\(0.00\)">
                  <c:v>10</c:v>
                </c:pt>
                <c:pt idx="22" formatCode="0.00_);[Red]\(0.00\)">
                  <c:v>10</c:v>
                </c:pt>
                <c:pt idx="23" formatCode="0.00_);[Red]\(0.00\)">
                  <c:v>10</c:v>
                </c:pt>
                <c:pt idx="24" formatCode="0.00_);[Red]\(0.00\)">
                  <c:v>10</c:v>
                </c:pt>
                <c:pt idx="25" formatCode="0.00_);[Red]\(0.00\)">
                  <c:v>10</c:v>
                </c:pt>
                <c:pt idx="26" formatCode="0.00_);[Red]\(0.00\)">
                  <c:v>10</c:v>
                </c:pt>
                <c:pt idx="27" formatCode="0.00_);[Red]\(0.00\)">
                  <c:v>10</c:v>
                </c:pt>
                <c:pt idx="28" formatCode="0.00_);[Red]\(0.00\)">
                  <c:v>10</c:v>
                </c:pt>
                <c:pt idx="29" formatCode="0.00_);[Red]\(0.00\)">
                  <c:v>10</c:v>
                </c:pt>
                <c:pt idx="30" formatCode="0.00_);[Red]\(0.00\)">
                  <c:v>0</c:v>
                </c:pt>
                <c:pt idx="31" formatCode="0.00_);[Red]\(0.00\)">
                  <c:v>0</c:v>
                </c:pt>
                <c:pt idx="32" formatCode="0.00_);[Red]\(0.00\)">
                  <c:v>0</c:v>
                </c:pt>
                <c:pt idx="33" formatCode="0.00_);[Red]\(0.00\)">
                  <c:v>0</c:v>
                </c:pt>
                <c:pt idx="34" formatCode="0.00_);[Red]\(0.00\)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14-408F-BC96-ECA50F708662}"/>
            </c:ext>
          </c:extLst>
        </c:ser>
        <c:ser>
          <c:idx val="4"/>
          <c:order val="4"/>
          <c:tx>
            <c:strRef>
              <c:f>风机功率曲线!$O$1</c:f>
              <c:strCache>
                <c:ptCount val="1"/>
                <c:pt idx="0">
                  <c:v>GWH266-14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风机功率曲线!$O$2:$O$36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 formatCode="0.00_);[Red]\(0.00\)">
                  <c:v>0.13778249546250002</c:v>
                </c:pt>
                <c:pt idx="3" formatCode="0.00_);[Red]\(0.00\)">
                  <c:v>0.32659554480000003</c:v>
                </c:pt>
                <c:pt idx="4" formatCode="0.00_);[Red]\(0.00\)">
                  <c:v>0.63788192343750005</c:v>
                </c:pt>
                <c:pt idx="5" formatCode="0.00_);[Red]\(0.00\)">
                  <c:v>1.1022599637000001</c:v>
                </c:pt>
                <c:pt idx="6" formatCode="0.00_);[Red]\(0.00\)">
                  <c:v>1.7503479979125003</c:v>
                </c:pt>
                <c:pt idx="7" formatCode="0.00_);[Red]\(0.00\)">
                  <c:v>2.6127643584000002</c:v>
                </c:pt>
                <c:pt idx="8" formatCode="0.00_);[Red]\(0.00\)">
                  <c:v>3.7201273774875001</c:v>
                </c:pt>
                <c:pt idx="9" formatCode="0.00_);[Red]\(0.00\)">
                  <c:v>5.1030553875000004</c:v>
                </c:pt>
                <c:pt idx="10" formatCode="0.00_);[Red]\(0.00\)">
                  <c:v>6.7921667207625003</c:v>
                </c:pt>
                <c:pt idx="11" formatCode="0.00_);[Red]\(0.00\)">
                  <c:v>8.818079709600001</c:v>
                </c:pt>
                <c:pt idx="12" formatCode="0.00_);[Red]\(0.00\)">
                  <c:v>11.211412686337502</c:v>
                </c:pt>
                <c:pt idx="13" formatCode="0.00_);[Red]\(0.00\)">
                  <c:v>14.002783983300002</c:v>
                </c:pt>
                <c:pt idx="14" formatCode="0.00_);[Red]\(0.00\)">
                  <c:v>14</c:v>
                </c:pt>
                <c:pt idx="15" formatCode="0.00_);[Red]\(0.00\)">
                  <c:v>14</c:v>
                </c:pt>
                <c:pt idx="16" formatCode="0.00_);[Red]\(0.00\)">
                  <c:v>14</c:v>
                </c:pt>
                <c:pt idx="17" formatCode="0.00_);[Red]\(0.00\)">
                  <c:v>14</c:v>
                </c:pt>
                <c:pt idx="18" formatCode="0.00_);[Red]\(0.00\)">
                  <c:v>14</c:v>
                </c:pt>
                <c:pt idx="19" formatCode="0.00_);[Red]\(0.00\)">
                  <c:v>14</c:v>
                </c:pt>
                <c:pt idx="20" formatCode="0.00_);[Red]\(0.00\)">
                  <c:v>14</c:v>
                </c:pt>
                <c:pt idx="21" formatCode="0.00_);[Red]\(0.00\)">
                  <c:v>14</c:v>
                </c:pt>
                <c:pt idx="22" formatCode="0.00_);[Red]\(0.00\)">
                  <c:v>14</c:v>
                </c:pt>
                <c:pt idx="23" formatCode="0.00_);[Red]\(0.00\)">
                  <c:v>14</c:v>
                </c:pt>
                <c:pt idx="24" formatCode="0.00_);[Red]\(0.00\)">
                  <c:v>14</c:v>
                </c:pt>
                <c:pt idx="25" formatCode="0.00_);[Red]\(0.00\)">
                  <c:v>14</c:v>
                </c:pt>
                <c:pt idx="26" formatCode="0.00_);[Red]\(0.00\)">
                  <c:v>14</c:v>
                </c:pt>
                <c:pt idx="27" formatCode="0.00_);[Red]\(0.00\)">
                  <c:v>14</c:v>
                </c:pt>
                <c:pt idx="28" formatCode="0.00_);[Red]\(0.00\)">
                  <c:v>14</c:v>
                </c:pt>
                <c:pt idx="29" formatCode="0.00_);[Red]\(0.00\)">
                  <c:v>14</c:v>
                </c:pt>
                <c:pt idx="30" formatCode="0.00_);[Red]\(0.00\)">
                  <c:v>0</c:v>
                </c:pt>
                <c:pt idx="31" formatCode="0.00_);[Red]\(0.00\)">
                  <c:v>0</c:v>
                </c:pt>
                <c:pt idx="32" formatCode="0.00_);[Red]\(0.00\)">
                  <c:v>0</c:v>
                </c:pt>
                <c:pt idx="33" formatCode="0.00_);[Red]\(0.00\)">
                  <c:v>0</c:v>
                </c:pt>
                <c:pt idx="34" formatCode="0.00_);[Red]\(0.00\)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14-408F-BC96-ECA50F708662}"/>
            </c:ext>
          </c:extLst>
        </c:ser>
        <c:ser>
          <c:idx val="5"/>
          <c:order val="5"/>
          <c:tx>
            <c:strRef>
              <c:f>风机功率曲线!#REF!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14-408F-BC96-ECA50F708662}"/>
            </c:ext>
          </c:extLst>
        </c:ser>
        <c:ser>
          <c:idx val="6"/>
          <c:order val="6"/>
          <c:tx>
            <c:strRef>
              <c:f>风机功率曲线!$P$1</c:f>
              <c:strCache>
                <c:ptCount val="1"/>
                <c:pt idx="0">
                  <c:v>EN-226/8.5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风机功率曲线!$P$2:$P$36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 formatCode="0.00_);[Red]\(0.00\)">
                  <c:v>0.19891963192500003</c:v>
                </c:pt>
                <c:pt idx="3" formatCode="0.00_);[Red]\(0.00\)">
                  <c:v>0.47151320160000004</c:v>
                </c:pt>
                <c:pt idx="4" formatCode="0.00_);[Red]\(0.00\)">
                  <c:v>0.920924221875</c:v>
                </c:pt>
                <c:pt idx="5" formatCode="0.00_);[Red]\(0.00\)">
                  <c:v>1.5913570554000003</c:v>
                </c:pt>
                <c:pt idx="6" formatCode="0.00_);[Red]\(0.00\)">
                  <c:v>2.5270160648250002</c:v>
                </c:pt>
                <c:pt idx="7" formatCode="0.00_);[Red]\(0.00\)">
                  <c:v>3.7721056128000003</c:v>
                </c:pt>
                <c:pt idx="8" formatCode="0.00_);[Red]\(0.00\)">
                  <c:v>5.370830061975</c:v>
                </c:pt>
                <c:pt idx="9" formatCode="0.00_);[Red]\(0.00\)">
                  <c:v>7.367393775</c:v>
                </c:pt>
                <c:pt idx="10" formatCode="0.00_);[Red]\(0.00\)">
                  <c:v>8.5</c:v>
                </c:pt>
                <c:pt idx="11" formatCode="0.00_);[Red]\(0.00\)">
                  <c:v>8.5</c:v>
                </c:pt>
                <c:pt idx="12" formatCode="0.00_);[Red]\(0.00\)">
                  <c:v>8.5</c:v>
                </c:pt>
                <c:pt idx="13" formatCode="0.00_);[Red]\(0.00\)">
                  <c:v>8.5</c:v>
                </c:pt>
                <c:pt idx="14" formatCode="0.00_);[Red]\(0.00\)">
                  <c:v>8.5</c:v>
                </c:pt>
                <c:pt idx="15" formatCode="0.00_);[Red]\(0.00\)">
                  <c:v>8.5</c:v>
                </c:pt>
                <c:pt idx="16" formatCode="0.00_);[Red]\(0.00\)">
                  <c:v>8.5</c:v>
                </c:pt>
                <c:pt idx="17" formatCode="0.00_);[Red]\(0.00\)">
                  <c:v>8.5</c:v>
                </c:pt>
                <c:pt idx="18" formatCode="0.00_);[Red]\(0.00\)">
                  <c:v>8.5</c:v>
                </c:pt>
                <c:pt idx="19" formatCode="0.00_);[Red]\(0.00\)">
                  <c:v>8.5</c:v>
                </c:pt>
                <c:pt idx="20" formatCode="0.00_);[Red]\(0.00\)">
                  <c:v>8.5</c:v>
                </c:pt>
                <c:pt idx="21" formatCode="0.00_);[Red]\(0.00\)">
                  <c:v>8.5</c:v>
                </c:pt>
                <c:pt idx="22" formatCode="0.00_);[Red]\(0.00\)">
                  <c:v>8.5</c:v>
                </c:pt>
                <c:pt idx="23" formatCode="0.00_);[Red]\(0.00\)">
                  <c:v>8.5</c:v>
                </c:pt>
                <c:pt idx="24" formatCode="0.00_);[Red]\(0.00\)">
                  <c:v>8.5</c:v>
                </c:pt>
                <c:pt idx="25" formatCode="0.00_);[Red]\(0.00\)">
                  <c:v>0</c:v>
                </c:pt>
                <c:pt idx="26" formatCode="0.00_);[Red]\(0.00\)">
                  <c:v>0</c:v>
                </c:pt>
                <c:pt idx="27" formatCode="0.00_);[Red]\(0.00\)">
                  <c:v>0</c:v>
                </c:pt>
                <c:pt idx="28" formatCode="0.00_);[Red]\(0.00\)">
                  <c:v>0</c:v>
                </c:pt>
                <c:pt idx="29" formatCode="0.00_);[Red]\(0.00\)">
                  <c:v>0</c:v>
                </c:pt>
                <c:pt idx="30" formatCode="0.00_);[Red]\(0.00\)">
                  <c:v>0</c:v>
                </c:pt>
                <c:pt idx="31" formatCode="0.00_);[Red]\(0.00\)">
                  <c:v>0</c:v>
                </c:pt>
                <c:pt idx="32" formatCode="0.00_);[Red]\(0.00\)">
                  <c:v>0</c:v>
                </c:pt>
                <c:pt idx="33" formatCode="0.00_);[Red]\(0.00\)">
                  <c:v>0</c:v>
                </c:pt>
                <c:pt idx="34" formatCode="0.00_);[Red]\(0.00\)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614-408F-BC96-ECA50F708662}"/>
            </c:ext>
          </c:extLst>
        </c:ser>
        <c:ser>
          <c:idx val="7"/>
          <c:order val="7"/>
          <c:tx>
            <c:strRef>
              <c:f>风机功率曲线!#REF!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14-408F-BC96-ECA50F708662}"/>
            </c:ext>
          </c:extLst>
        </c:ser>
        <c:ser>
          <c:idx val="8"/>
          <c:order val="8"/>
          <c:tx>
            <c:strRef>
              <c:f>风机功率曲线!#REF!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614-408F-BC96-ECA50F708662}"/>
            </c:ext>
          </c:extLst>
        </c:ser>
        <c:ser>
          <c:idx val="9"/>
          <c:order val="9"/>
          <c:tx>
            <c:strRef>
              <c:f>风机功率曲线!$Q$1</c:f>
              <c:strCache>
                <c:ptCount val="1"/>
                <c:pt idx="0">
                  <c:v>EN-252/14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风机功率曲线!$Q$2:$Q$36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 formatCode="0.00_);[Red]\(0.00\)">
                  <c:v>0.19373516536499999</c:v>
                </c:pt>
                <c:pt idx="3" formatCode="0.00_);[Red]\(0.00\)">
                  <c:v>0.45922409567999994</c:v>
                </c:pt>
                <c:pt idx="4" formatCode="0.00_);[Red]\(0.00\)">
                  <c:v>0.8969220618749999</c:v>
                </c:pt>
                <c:pt idx="5" formatCode="0.00_);[Red]\(0.00\)">
                  <c:v>1.5498813229199999</c:v>
                </c:pt>
                <c:pt idx="6" formatCode="0.00_);[Red]\(0.00\)">
                  <c:v>2.4611541377849999</c:v>
                </c:pt>
                <c:pt idx="7" formatCode="0.00_);[Red]\(0.00\)">
                  <c:v>3.6737927654399996</c:v>
                </c:pt>
                <c:pt idx="8" formatCode="0.00_);[Red]\(0.00\)">
                  <c:v>5.230849464854999</c:v>
                </c:pt>
                <c:pt idx="9" formatCode="0.00_);[Red]\(0.00\)">
                  <c:v>7.1753764949999992</c:v>
                </c:pt>
                <c:pt idx="10" formatCode="0.00_);[Red]\(0.00\)">
                  <c:v>9.5504261148450009</c:v>
                </c:pt>
                <c:pt idx="11" formatCode="0.00_);[Red]\(0.00\)">
                  <c:v>12.399050583359999</c:v>
                </c:pt>
                <c:pt idx="12" formatCode="0.00_);[Red]\(0.00\)">
                  <c:v>14</c:v>
                </c:pt>
                <c:pt idx="13" formatCode="0.00_);[Red]\(0.00\)">
                  <c:v>14</c:v>
                </c:pt>
                <c:pt idx="14" formatCode="0.00_);[Red]\(0.00\)">
                  <c:v>14</c:v>
                </c:pt>
                <c:pt idx="15" formatCode="0.00_);[Red]\(0.00\)">
                  <c:v>14</c:v>
                </c:pt>
                <c:pt idx="16" formatCode="0.00_);[Red]\(0.00\)">
                  <c:v>14</c:v>
                </c:pt>
                <c:pt idx="17" formatCode="0.00_);[Red]\(0.00\)">
                  <c:v>14</c:v>
                </c:pt>
                <c:pt idx="18" formatCode="0.00_);[Red]\(0.00\)">
                  <c:v>14</c:v>
                </c:pt>
                <c:pt idx="19" formatCode="0.00_);[Red]\(0.00\)">
                  <c:v>14</c:v>
                </c:pt>
                <c:pt idx="20" formatCode="0.00_);[Red]\(0.00\)">
                  <c:v>14</c:v>
                </c:pt>
                <c:pt idx="21" formatCode="0.00_);[Red]\(0.00\)">
                  <c:v>14</c:v>
                </c:pt>
                <c:pt idx="22" formatCode="0.00_);[Red]\(0.00\)">
                  <c:v>14</c:v>
                </c:pt>
                <c:pt idx="23" formatCode="0.00_);[Red]\(0.00\)">
                  <c:v>14</c:v>
                </c:pt>
                <c:pt idx="24" formatCode="0.00_);[Red]\(0.00\)">
                  <c:v>14</c:v>
                </c:pt>
                <c:pt idx="25" formatCode="0.00_);[Red]\(0.00\)">
                  <c:v>0</c:v>
                </c:pt>
                <c:pt idx="26" formatCode="0.00_);[Red]\(0.00\)">
                  <c:v>0</c:v>
                </c:pt>
                <c:pt idx="27" formatCode="0.00_);[Red]\(0.00\)">
                  <c:v>0</c:v>
                </c:pt>
                <c:pt idx="28" formatCode="0.00_);[Red]\(0.00\)">
                  <c:v>0</c:v>
                </c:pt>
                <c:pt idx="29" formatCode="0.00_);[Red]\(0.00\)">
                  <c:v>0</c:v>
                </c:pt>
                <c:pt idx="30" formatCode="0.00_);[Red]\(0.00\)">
                  <c:v>0</c:v>
                </c:pt>
                <c:pt idx="31" formatCode="0.00_);[Red]\(0.00\)">
                  <c:v>0</c:v>
                </c:pt>
                <c:pt idx="32" formatCode="0.00_);[Red]\(0.00\)">
                  <c:v>0</c:v>
                </c:pt>
                <c:pt idx="33" formatCode="0.00_);[Red]\(0.00\)">
                  <c:v>0</c:v>
                </c:pt>
                <c:pt idx="34" formatCode="0.00_);[Red]\(0.00\)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14-408F-BC96-ECA50F708662}"/>
            </c:ext>
          </c:extLst>
        </c:ser>
        <c:ser>
          <c:idx val="10"/>
          <c:order val="10"/>
          <c:tx>
            <c:strRef>
              <c:f>风机功率曲线!$R$1</c:f>
              <c:strCache>
                <c:ptCount val="1"/>
                <c:pt idx="0">
                  <c:v>EN-256/16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风机功率曲线!$I$2:$I$36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风机功率曲线!$R$2:$R$36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 formatCode="0.00_);[Red]\(0.00\)">
                  <c:v>0.17441077247999998</c:v>
                </c:pt>
                <c:pt idx="3" formatCode="0.00_);[Red]\(0.00\)">
                  <c:v>0.41341812736</c:v>
                </c:pt>
                <c:pt idx="4" formatCode="0.00_);[Red]\(0.00\)">
                  <c:v>0.80745727999999994</c:v>
                </c:pt>
                <c:pt idx="5" formatCode="0.00_);[Red]\(0.00\)">
                  <c:v>1.3952861798399998</c:v>
                </c:pt>
                <c:pt idx="6" formatCode="0.00_);[Red]\(0.00\)">
                  <c:v>2.2156627763199999</c:v>
                </c:pt>
                <c:pt idx="7" formatCode="0.00_);[Red]\(0.00\)">
                  <c:v>3.30734501888</c:v>
                </c:pt>
                <c:pt idx="8" formatCode="0.00_);[Red]\(0.00\)">
                  <c:v>4.7090908569599996</c:v>
                </c:pt>
                <c:pt idx="9" formatCode="0.00_);[Red]\(0.00\)">
                  <c:v>6.4596582399999996</c:v>
                </c:pt>
                <c:pt idx="10" formatCode="0.00_);[Red]\(0.00\)">
                  <c:v>8.5978051174400001</c:v>
                </c:pt>
                <c:pt idx="11" formatCode="0.00_);[Red]\(0.00\)">
                  <c:v>11.162289438719998</c:v>
                </c:pt>
                <c:pt idx="12" formatCode="0.00_);[Red]\(0.00\)">
                  <c:v>14.191869153279999</c:v>
                </c:pt>
                <c:pt idx="13" formatCode="0.00_);[Red]\(0.00\)">
                  <c:v>16</c:v>
                </c:pt>
                <c:pt idx="14" formatCode="0.00_);[Red]\(0.00\)">
                  <c:v>16</c:v>
                </c:pt>
                <c:pt idx="15" formatCode="0.00_);[Red]\(0.00\)">
                  <c:v>16</c:v>
                </c:pt>
                <c:pt idx="16" formatCode="0.00_);[Red]\(0.00\)">
                  <c:v>16</c:v>
                </c:pt>
                <c:pt idx="17" formatCode="0.00_);[Red]\(0.00\)">
                  <c:v>16</c:v>
                </c:pt>
                <c:pt idx="18" formatCode="0.00_);[Red]\(0.00\)">
                  <c:v>16</c:v>
                </c:pt>
                <c:pt idx="19" formatCode="0.00_);[Red]\(0.00\)">
                  <c:v>16</c:v>
                </c:pt>
                <c:pt idx="20" formatCode="0.00_);[Red]\(0.00\)">
                  <c:v>16</c:v>
                </c:pt>
                <c:pt idx="21" formatCode="0.00_);[Red]\(0.00\)">
                  <c:v>16</c:v>
                </c:pt>
                <c:pt idx="22" formatCode="0.00_);[Red]\(0.00\)">
                  <c:v>16</c:v>
                </c:pt>
                <c:pt idx="23" formatCode="0.00_);[Red]\(0.00\)">
                  <c:v>16</c:v>
                </c:pt>
                <c:pt idx="24" formatCode="0.00_);[Red]\(0.00\)">
                  <c:v>16</c:v>
                </c:pt>
                <c:pt idx="25" formatCode="0.00_);[Red]\(0.00\)">
                  <c:v>0</c:v>
                </c:pt>
                <c:pt idx="26" formatCode="0.00_);[Red]\(0.00\)">
                  <c:v>0</c:v>
                </c:pt>
                <c:pt idx="27" formatCode="0.00_);[Red]\(0.00\)">
                  <c:v>0</c:v>
                </c:pt>
                <c:pt idx="28" formatCode="0.00_);[Red]\(0.00\)">
                  <c:v>0</c:v>
                </c:pt>
                <c:pt idx="29" formatCode="0.00_);[Red]\(0.00\)">
                  <c:v>0</c:v>
                </c:pt>
                <c:pt idx="30" formatCode="0.00_);[Red]\(0.00\)">
                  <c:v>0</c:v>
                </c:pt>
                <c:pt idx="31" formatCode="0.00_);[Red]\(0.00\)">
                  <c:v>0</c:v>
                </c:pt>
                <c:pt idx="32" formatCode="0.00_);[Red]\(0.00\)">
                  <c:v>0</c:v>
                </c:pt>
                <c:pt idx="33" formatCode="0.00_);[Red]\(0.00\)">
                  <c:v>0</c:v>
                </c:pt>
                <c:pt idx="34" formatCode="0.00_);[Red]\(0.00\)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614-408F-BC96-ECA50F708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58879"/>
        <c:axId val="720357439"/>
      </c:scatterChart>
      <c:valAx>
        <c:axId val="720358879"/>
        <c:scaling>
          <c:orientation val="minMax"/>
          <c:max val="3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Wind speed</a:t>
                </a:r>
                <a:r>
                  <a:rPr 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18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0357439"/>
        <c:crosses val="autoZero"/>
        <c:crossBetween val="midCat"/>
        <c:minorUnit val="5"/>
      </c:valAx>
      <c:valAx>
        <c:axId val="720357439"/>
        <c:scaling>
          <c:orientation val="minMax"/>
          <c:max val="17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Power</a:t>
                </a:r>
                <a:r>
                  <a:rPr lang="zh-CN" sz="1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(MW)</a:t>
                </a:r>
                <a:endParaRPr lang="zh-CN" sz="18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18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0358879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2803937827572283"/>
          <c:y val="0.16753192018967833"/>
          <c:w val="0.16357138888888889"/>
          <c:h val="0.60905777777777781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altLang="zh-CN" sz="1800" b="0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[1]Sheet1!$P$1</c:f>
              <c:strCache>
                <c:ptCount val="1"/>
                <c:pt idx="0">
                  <c:v>Archimedes Waveswing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[1]Sheet1!$P$2:$P$11</c:f>
              <c:numCache>
                <c:formatCode>General</c:formatCode>
                <c:ptCount val="10"/>
                <c:pt idx="0">
                  <c:v>388.5175683060113</c:v>
                </c:pt>
                <c:pt idx="1">
                  <c:v>343.26953551912595</c:v>
                </c:pt>
                <c:pt idx="2">
                  <c:v>357.92637978142079</c:v>
                </c:pt>
                <c:pt idx="3">
                  <c:v>356.66583333333352</c:v>
                </c:pt>
                <c:pt idx="4">
                  <c:v>381.9196448087431</c:v>
                </c:pt>
                <c:pt idx="5">
                  <c:v>387.89228142076507</c:v>
                </c:pt>
                <c:pt idx="6">
                  <c:v>355.38733606557378</c:v>
                </c:pt>
                <c:pt idx="7">
                  <c:v>343.63752732240448</c:v>
                </c:pt>
                <c:pt idx="8">
                  <c:v>330.2761338797817</c:v>
                </c:pt>
                <c:pt idx="9">
                  <c:v>357.16047814207633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8-47A9-A5FC-2A522A90D129}"/>
            </c:ext>
          </c:extLst>
        </c:ser>
        <c:ser>
          <c:idx val="1"/>
          <c:order val="1"/>
          <c:tx>
            <c:strRef>
              <c:f>[1]Sheet1!$Q$1</c:f>
              <c:strCache>
                <c:ptCount val="1"/>
                <c:pt idx="0">
                  <c:v>Aquabuoy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[1]Sheet1!$Q$2:$Q$11</c:f>
              <c:numCache>
                <c:formatCode>General</c:formatCode>
                <c:ptCount val="10"/>
                <c:pt idx="0">
                  <c:v>116.7511338797817</c:v>
                </c:pt>
                <c:pt idx="1">
                  <c:v>102.14913934426225</c:v>
                </c:pt>
                <c:pt idx="2">
                  <c:v>107.47554644808731</c:v>
                </c:pt>
                <c:pt idx="3">
                  <c:v>108.0260382513665</c:v>
                </c:pt>
                <c:pt idx="4">
                  <c:v>114.97300546448083</c:v>
                </c:pt>
                <c:pt idx="5">
                  <c:v>117.09219945355211</c:v>
                </c:pt>
                <c:pt idx="6">
                  <c:v>106.16015027322364</c:v>
                </c:pt>
                <c:pt idx="7">
                  <c:v>99.311912568306212</c:v>
                </c:pt>
                <c:pt idx="8">
                  <c:v>95.126379781420837</c:v>
                </c:pt>
                <c:pt idx="9">
                  <c:v>106.27982240437126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8-47A9-A5FC-2A522A90D129}"/>
            </c:ext>
          </c:extLst>
        </c:ser>
        <c:ser>
          <c:idx val="2"/>
          <c:order val="2"/>
          <c:tx>
            <c:strRef>
              <c:f>[1]Sheet1!$R$1</c:f>
              <c:strCache>
                <c:ptCount val="1"/>
                <c:pt idx="0">
                  <c:v>RM5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[1]Sheet1!$R$2:$R$11</c:f>
              <c:numCache>
                <c:formatCode>General</c:formatCode>
                <c:ptCount val="10"/>
                <c:pt idx="0">
                  <c:v>461.64122950819694</c:v>
                </c:pt>
                <c:pt idx="1">
                  <c:v>430.09166666666647</c:v>
                </c:pt>
                <c:pt idx="2">
                  <c:v>439.49490437158505</c:v>
                </c:pt>
                <c:pt idx="3">
                  <c:v>447.76424863387967</c:v>
                </c:pt>
                <c:pt idx="4">
                  <c:v>462.12889344262311</c:v>
                </c:pt>
                <c:pt idx="5">
                  <c:v>460.63199453551886</c:v>
                </c:pt>
                <c:pt idx="6">
                  <c:v>439.28647540983633</c:v>
                </c:pt>
                <c:pt idx="7">
                  <c:v>423.58948087431696</c:v>
                </c:pt>
                <c:pt idx="8">
                  <c:v>417.56498633879772</c:v>
                </c:pt>
                <c:pt idx="9">
                  <c:v>439.6863797814205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8-47A9-A5FC-2A522A90D129}"/>
            </c:ext>
          </c:extLst>
        </c:ser>
        <c:ser>
          <c:idx val="3"/>
          <c:order val="3"/>
          <c:tx>
            <c:strRef>
              <c:f>[1]Sheet1!$S$1</c:f>
              <c:strCache>
                <c:ptCount val="1"/>
                <c:pt idx="0">
                  <c:v>Wavestar C6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[1]Sheet1!$S$2:$S$11</c:f>
              <c:numCache>
                <c:formatCode>General</c:formatCode>
                <c:ptCount val="10"/>
                <c:pt idx="0">
                  <c:v>2132.6551092896138</c:v>
                </c:pt>
                <c:pt idx="1">
                  <c:v>2004.3755601092901</c:v>
                </c:pt>
                <c:pt idx="2">
                  <c:v>2037.2405191256817</c:v>
                </c:pt>
                <c:pt idx="3">
                  <c:v>2074.0825819672141</c:v>
                </c:pt>
                <c:pt idx="4">
                  <c:v>2123.1940300546453</c:v>
                </c:pt>
                <c:pt idx="5">
                  <c:v>2108.2200546448116</c:v>
                </c:pt>
                <c:pt idx="6">
                  <c:v>2028.7996448087467</c:v>
                </c:pt>
                <c:pt idx="7">
                  <c:v>1963.6062568306002</c:v>
                </c:pt>
                <c:pt idx="8">
                  <c:v>1942.4113251366143</c:v>
                </c:pt>
                <c:pt idx="9">
                  <c:v>2021.2912158469974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78-47A9-A5FC-2A522A90D129}"/>
            </c:ext>
          </c:extLst>
        </c:ser>
        <c:ser>
          <c:idx val="4"/>
          <c:order val="4"/>
          <c:tx>
            <c:strRef>
              <c:f>[1]Sheet1!$T$1</c:f>
              <c:strCache>
                <c:ptCount val="1"/>
                <c:pt idx="0">
                  <c:v>Wave Dragon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[1]Sheet1!$T$2:$T$11</c:f>
              <c:numCache>
                <c:formatCode>General</c:formatCode>
                <c:ptCount val="10"/>
                <c:pt idx="0">
                  <c:v>7212.646325136614</c:v>
                </c:pt>
                <c:pt idx="1">
                  <c:v>6752.0213114754088</c:v>
                </c:pt>
                <c:pt idx="2">
                  <c:v>6907.7147540983606</c:v>
                </c:pt>
                <c:pt idx="3">
                  <c:v>6926.0046448087496</c:v>
                </c:pt>
                <c:pt idx="4">
                  <c:v>7181.6073633879741</c:v>
                </c:pt>
                <c:pt idx="5">
                  <c:v>7236.7542759562866</c:v>
                </c:pt>
                <c:pt idx="6">
                  <c:v>6851.5825409836052</c:v>
                </c:pt>
                <c:pt idx="7">
                  <c:v>6603.5042076502759</c:v>
                </c:pt>
                <c:pt idx="8">
                  <c:v>6455.4149316939856</c:v>
                </c:pt>
                <c:pt idx="9">
                  <c:v>6779.5508879781401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78-47A9-A5FC-2A522A90D129}"/>
            </c:ext>
          </c:extLst>
        </c:ser>
        <c:ser>
          <c:idx val="5"/>
          <c:order val="5"/>
          <c:tx>
            <c:strRef>
              <c:f>[1]Sheet1!$U$1</c:f>
              <c:strCache>
                <c:ptCount val="1"/>
                <c:pt idx="0">
                  <c:v>SeaPower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[1]Sheet1!$U$2:$U$11</c:f>
              <c:numCache>
                <c:formatCode>General</c:formatCode>
                <c:ptCount val="10"/>
                <c:pt idx="0">
                  <c:v>694.93605600000001</c:v>
                </c:pt>
                <c:pt idx="1">
                  <c:v>614.47370399999988</c:v>
                </c:pt>
                <c:pt idx="2">
                  <c:v>637.28386799999998</c:v>
                </c:pt>
                <c:pt idx="3">
                  <c:v>660.63977999999986</c:v>
                </c:pt>
                <c:pt idx="4">
                  <c:v>699.98444399999994</c:v>
                </c:pt>
                <c:pt idx="5">
                  <c:v>699.69711600000005</c:v>
                </c:pt>
                <c:pt idx="6">
                  <c:v>646.728024</c:v>
                </c:pt>
                <c:pt idx="7">
                  <c:v>620.07046800000001</c:v>
                </c:pt>
                <c:pt idx="8">
                  <c:v>604.38743999999997</c:v>
                </c:pt>
                <c:pt idx="9">
                  <c:v>654.14862000000005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78-47A9-A5FC-2A522A90D129}"/>
            </c:ext>
          </c:extLst>
        </c:ser>
        <c:ser>
          <c:idx val="6"/>
          <c:order val="6"/>
          <c:tx>
            <c:strRef>
              <c:f>[1]Sheet1!$V$1</c:f>
              <c:strCache>
                <c:ptCount val="1"/>
                <c:pt idx="0">
                  <c:v>OE buoy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[1]Sheet1!$V$2:$V$11</c:f>
              <c:numCache>
                <c:formatCode>General</c:formatCode>
                <c:ptCount val="10"/>
                <c:pt idx="0">
                  <c:v>264.46702799999997</c:v>
                </c:pt>
                <c:pt idx="1">
                  <c:v>229.82035199999999</c:v>
                </c:pt>
                <c:pt idx="2">
                  <c:v>242.56264800000002</c:v>
                </c:pt>
                <c:pt idx="3">
                  <c:v>243.48157199999997</c:v>
                </c:pt>
                <c:pt idx="4">
                  <c:v>259.03670399999999</c:v>
                </c:pt>
                <c:pt idx="5">
                  <c:v>263.27829600000001</c:v>
                </c:pt>
                <c:pt idx="6">
                  <c:v>241.38705599999997</c:v>
                </c:pt>
                <c:pt idx="7">
                  <c:v>231.36649199999999</c:v>
                </c:pt>
                <c:pt idx="8">
                  <c:v>222.92360399999998</c:v>
                </c:pt>
                <c:pt idx="9">
                  <c:v>244.806084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78-47A9-A5FC-2A522A90D129}"/>
            </c:ext>
          </c:extLst>
        </c:ser>
        <c:ser>
          <c:idx val="7"/>
          <c:order val="7"/>
          <c:tx>
            <c:strRef>
              <c:f>[1]Sheet1!$W$1</c:f>
              <c:strCache>
                <c:ptCount val="1"/>
                <c:pt idx="0">
                  <c:v>Langlee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[1]Sheet1!$W$2:$W$11</c:f>
              <c:numCache>
                <c:formatCode>General</c:formatCode>
                <c:ptCount val="10"/>
                <c:pt idx="0">
                  <c:v>736.46195999999998</c:v>
                </c:pt>
                <c:pt idx="1">
                  <c:v>679.62795600000004</c:v>
                </c:pt>
                <c:pt idx="2">
                  <c:v>699.78909599999997</c:v>
                </c:pt>
                <c:pt idx="3">
                  <c:v>710.75661600000001</c:v>
                </c:pt>
                <c:pt idx="4">
                  <c:v>735.90745200000003</c:v>
                </c:pt>
                <c:pt idx="5">
                  <c:v>739.13376000000005</c:v>
                </c:pt>
                <c:pt idx="6">
                  <c:v>698.68358399999988</c:v>
                </c:pt>
                <c:pt idx="7">
                  <c:v>664.29269999999997</c:v>
                </c:pt>
                <c:pt idx="8">
                  <c:v>652.35807599999998</c:v>
                </c:pt>
                <c:pt idx="9">
                  <c:v>694.79239199999995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78-47A9-A5FC-2A522A90D129}"/>
            </c:ext>
          </c:extLst>
        </c:ser>
        <c:ser>
          <c:idx val="8"/>
          <c:order val="8"/>
          <c:tx>
            <c:strRef>
              <c:f>[1]Sheet1!$Y$1</c:f>
              <c:strCache>
                <c:ptCount val="1"/>
                <c:pt idx="0">
                  <c:v>CycWEC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[1]Sheet1!$Y$2:$Y$11</c:f>
              <c:numCache>
                <c:formatCode>General</c:formatCode>
                <c:ptCount val="10"/>
                <c:pt idx="0">
                  <c:v>1367.7496080000001</c:v>
                </c:pt>
                <c:pt idx="1">
                  <c:v>1132.502436</c:v>
                </c:pt>
                <c:pt idx="2">
                  <c:v>1232.1693360000002</c:v>
                </c:pt>
                <c:pt idx="3">
                  <c:v>1264.7127359999999</c:v>
                </c:pt>
                <c:pt idx="4">
                  <c:v>1463.5761240000002</c:v>
                </c:pt>
                <c:pt idx="5">
                  <c:v>1514.182644</c:v>
                </c:pt>
                <c:pt idx="6">
                  <c:v>1314.7358400000001</c:v>
                </c:pt>
                <c:pt idx="7">
                  <c:v>1227.554568</c:v>
                </c:pt>
                <c:pt idx="8">
                  <c:v>1175.0655240000001</c:v>
                </c:pt>
                <c:pt idx="9">
                  <c:v>1356.4027800000001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78-47A9-A5FC-2A522A90D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480671"/>
        <c:axId val="1"/>
      </c:barChart>
      <c:catAx>
        <c:axId val="177148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Site ID</a:t>
                </a:r>
                <a:endParaRPr lang="zh-CN" altLang="en-US" sz="1400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 b="0" i="0" u="none" strike="noStrike" kern="12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AEP (MWh)</a:t>
                </a:r>
                <a:endParaRPr lang="zh-CN" altLang="zh-CN" sz="1400" b="0" i="0" u="none" strike="noStrike" kern="1200" cap="non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1480671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73215225047997"/>
          <c:y val="0.15803616696229858"/>
          <c:w val="0.2219712231831642"/>
          <c:h val="0.683927385811293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[1]Sheet1!$AD$1</c:f>
              <c:strCache>
                <c:ptCount val="1"/>
                <c:pt idx="0">
                  <c:v>Archimedes Waveswing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[1]Sheet1!$AD$2:$AD$11</c:f>
              <c:numCache>
                <c:formatCode>General</c:formatCode>
                <c:ptCount val="10"/>
                <c:pt idx="0">
                  <c:v>1.7740528233151202E-2</c:v>
                </c:pt>
                <c:pt idx="1">
                  <c:v>1.5674408014571959E-2</c:v>
                </c:pt>
                <c:pt idx="2">
                  <c:v>1.6343670309653918E-2</c:v>
                </c:pt>
                <c:pt idx="3">
                  <c:v>1.6286111111111119E-2</c:v>
                </c:pt>
                <c:pt idx="4">
                  <c:v>1.7439253187613839E-2</c:v>
                </c:pt>
                <c:pt idx="5">
                  <c:v>1.771197632058288E-2</c:v>
                </c:pt>
                <c:pt idx="6">
                  <c:v>1.6227732240437161E-2</c:v>
                </c:pt>
                <c:pt idx="7">
                  <c:v>1.5691211293260478E-2</c:v>
                </c:pt>
                <c:pt idx="8">
                  <c:v>1.5081102003643E-2</c:v>
                </c:pt>
                <c:pt idx="9">
                  <c:v>1.6308697632058281E-2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A-4551-ABB8-DE292A9351BF}"/>
            </c:ext>
          </c:extLst>
        </c:ser>
        <c:ser>
          <c:idx val="1"/>
          <c:order val="1"/>
          <c:tx>
            <c:strRef>
              <c:f>[1]Sheet1!$AE$1</c:f>
              <c:strCache>
                <c:ptCount val="1"/>
                <c:pt idx="0">
                  <c:v>Aquabuoy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[1]Sheet1!$AE$2:$AE$11</c:f>
              <c:numCache>
                <c:formatCode>General</c:formatCode>
                <c:ptCount val="10"/>
                <c:pt idx="0">
                  <c:v>5.3311020036429999E-2</c:v>
                </c:pt>
                <c:pt idx="1">
                  <c:v>4.6643442622950802E-2</c:v>
                </c:pt>
                <c:pt idx="2">
                  <c:v>4.9075591985427998E-2</c:v>
                </c:pt>
                <c:pt idx="3">
                  <c:v>4.9326958105646801E-2</c:v>
                </c:pt>
                <c:pt idx="4">
                  <c:v>5.2499089253187602E-2</c:v>
                </c:pt>
                <c:pt idx="5">
                  <c:v>5.3466757741348001E-2</c:v>
                </c:pt>
                <c:pt idx="6">
                  <c:v>4.8474954462659196E-2</c:v>
                </c:pt>
                <c:pt idx="7">
                  <c:v>4.5347905282331603E-2</c:v>
                </c:pt>
                <c:pt idx="8">
                  <c:v>4.34367030965392E-2</c:v>
                </c:pt>
                <c:pt idx="9">
                  <c:v>4.8529599271402393E-2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A-4551-ABB8-DE292A9351BF}"/>
            </c:ext>
          </c:extLst>
        </c:ser>
        <c:ser>
          <c:idx val="2"/>
          <c:order val="2"/>
          <c:tx>
            <c:strRef>
              <c:f>[1]Sheet1!$AF$1</c:f>
              <c:strCache>
                <c:ptCount val="1"/>
                <c:pt idx="0">
                  <c:v>RM5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[1]Sheet1!$AF$2:$AF$11</c:f>
              <c:numCache>
                <c:formatCode>General</c:formatCode>
                <c:ptCount val="10"/>
                <c:pt idx="0">
                  <c:v>0.1463854735883425</c:v>
                </c:pt>
                <c:pt idx="1">
                  <c:v>0.1363811728395061</c:v>
                </c:pt>
                <c:pt idx="2">
                  <c:v>0.1393629199554747</c:v>
                </c:pt>
                <c:pt idx="3">
                  <c:v>0.14198511181946971</c:v>
                </c:pt>
                <c:pt idx="4">
                  <c:v>0.14654011080752888</c:v>
                </c:pt>
                <c:pt idx="5">
                  <c:v>0.14606544727787887</c:v>
                </c:pt>
                <c:pt idx="6">
                  <c:v>0.13929682756527029</c:v>
                </c:pt>
                <c:pt idx="7">
                  <c:v>0.13431934325035416</c:v>
                </c:pt>
                <c:pt idx="8">
                  <c:v>0.13240898856506778</c:v>
                </c:pt>
                <c:pt idx="9">
                  <c:v>0.13942363640963359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A-4551-ABB8-DE292A9351BF}"/>
            </c:ext>
          </c:extLst>
        </c:ser>
        <c:ser>
          <c:idx val="3"/>
          <c:order val="3"/>
          <c:tx>
            <c:strRef>
              <c:f>[1]Sheet1!$AG$1</c:f>
              <c:strCache>
                <c:ptCount val="1"/>
                <c:pt idx="0">
                  <c:v>Wavestar C6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[1]Sheet1!$AG$2:$AG$11</c:f>
              <c:numCache>
                <c:formatCode>General</c:formatCode>
                <c:ptCount val="10"/>
                <c:pt idx="0">
                  <c:v>0.40575629933211832</c:v>
                </c:pt>
                <c:pt idx="1">
                  <c:v>0.38134999241044332</c:v>
                </c:pt>
                <c:pt idx="2">
                  <c:v>0.38760283849423166</c:v>
                </c:pt>
                <c:pt idx="3">
                  <c:v>0.39461236338797834</c:v>
                </c:pt>
                <c:pt idx="4">
                  <c:v>0.40395624620522164</c:v>
                </c:pt>
                <c:pt idx="5">
                  <c:v>0.40110731633272667</c:v>
                </c:pt>
                <c:pt idx="6">
                  <c:v>0.38599688828172501</c:v>
                </c:pt>
                <c:pt idx="7">
                  <c:v>0.37359327565270167</c:v>
                </c:pt>
                <c:pt idx="8">
                  <c:v>0.36956075440194336</c:v>
                </c:pt>
                <c:pt idx="9">
                  <c:v>0.38456834395871337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3A-4551-ABB8-DE292A9351BF}"/>
            </c:ext>
          </c:extLst>
        </c:ser>
        <c:ser>
          <c:idx val="4"/>
          <c:order val="4"/>
          <c:tx>
            <c:strRef>
              <c:f>[1]Sheet1!$AH$1</c:f>
              <c:strCache>
                <c:ptCount val="1"/>
                <c:pt idx="0">
                  <c:v>Wave Dragon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[1]Sheet1!$AH$2:$AH$11</c:f>
              <c:numCache>
                <c:formatCode>General</c:formatCode>
                <c:ptCount val="10"/>
                <c:pt idx="0">
                  <c:v>0.13955278858324849</c:v>
                </c:pt>
                <c:pt idx="1">
                  <c:v>0.13064045568213389</c:v>
                </c:pt>
                <c:pt idx="2">
                  <c:v>0.13365286653700101</c:v>
                </c:pt>
                <c:pt idx="3">
                  <c:v>0.13400674570096646</c:v>
                </c:pt>
                <c:pt idx="4">
                  <c:v>0.13895223596060627</c:v>
                </c:pt>
                <c:pt idx="5">
                  <c:v>0.14001923759686338</c:v>
                </c:pt>
                <c:pt idx="6">
                  <c:v>0.13256680096323051</c:v>
                </c:pt>
                <c:pt idx="7">
                  <c:v>0.12776689512518916</c:v>
                </c:pt>
                <c:pt idx="8">
                  <c:v>0.1249016123305856</c:v>
                </c:pt>
                <c:pt idx="9">
                  <c:v>0.13117310749899661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A-4551-ABB8-DE292A9351BF}"/>
            </c:ext>
          </c:extLst>
        </c:ser>
        <c:ser>
          <c:idx val="5"/>
          <c:order val="5"/>
          <c:tx>
            <c:strRef>
              <c:f>[1]Sheet1!$AI$1</c:f>
              <c:strCache>
                <c:ptCount val="1"/>
                <c:pt idx="0">
                  <c:v>SeaPower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[1]Sheet1!$AI$2:$AI$11</c:f>
              <c:numCache>
                <c:formatCode>General</c:formatCode>
                <c:ptCount val="10"/>
                <c:pt idx="0">
                  <c:v>2.211614162252579E-2</c:v>
                </c:pt>
                <c:pt idx="1">
                  <c:v>1.9555450236966823E-2</c:v>
                </c:pt>
                <c:pt idx="2">
                  <c:v>2.0281377195427934E-2</c:v>
                </c:pt>
                <c:pt idx="3">
                  <c:v>2.1024672428212991E-2</c:v>
                </c:pt>
                <c:pt idx="4">
                  <c:v>2.2276805129634789E-2</c:v>
                </c:pt>
                <c:pt idx="5">
                  <c:v>2.2267660998048507E-2</c:v>
                </c:pt>
                <c:pt idx="6">
                  <c:v>2.0581934764427098E-2</c:v>
                </c:pt>
                <c:pt idx="7">
                  <c:v>1.9733565653749653E-2</c:v>
                </c:pt>
                <c:pt idx="8">
                  <c:v>1.9234457764148314E-2</c:v>
                </c:pt>
                <c:pt idx="9">
                  <c:v>2.081809311402286E-2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3A-4551-ABB8-DE292A9351BF}"/>
            </c:ext>
          </c:extLst>
        </c:ser>
        <c:ser>
          <c:idx val="6"/>
          <c:order val="6"/>
          <c:tx>
            <c:strRef>
              <c:f>[1]Sheet1!$AJ$1</c:f>
              <c:strCache>
                <c:ptCount val="1"/>
                <c:pt idx="0">
                  <c:v>OE buoy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[1]Sheet1!$AJ$2:$AJ$11</c:f>
              <c:numCache>
                <c:formatCode>General</c:formatCode>
                <c:ptCount val="10"/>
                <c:pt idx="0">
                  <c:v>1.078225E-2</c:v>
                </c:pt>
                <c:pt idx="1">
                  <c:v>9.369714285714285E-3</c:v>
                </c:pt>
                <c:pt idx="2">
                  <c:v>9.8892142857142859E-3</c:v>
                </c:pt>
                <c:pt idx="3">
                  <c:v>9.9266785714285707E-3</c:v>
                </c:pt>
                <c:pt idx="4">
                  <c:v>1.0560857142857143E-2</c:v>
                </c:pt>
                <c:pt idx="5">
                  <c:v>1.0733785714285715E-2</c:v>
                </c:pt>
                <c:pt idx="6">
                  <c:v>9.8412857142857139E-3</c:v>
                </c:pt>
                <c:pt idx="7">
                  <c:v>9.4327500000000002E-3</c:v>
                </c:pt>
                <c:pt idx="8">
                  <c:v>9.0885357142857139E-3</c:v>
                </c:pt>
                <c:pt idx="9">
                  <c:v>9.9806785714285726E-3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3A-4551-ABB8-DE292A9351BF}"/>
            </c:ext>
          </c:extLst>
        </c:ser>
        <c:ser>
          <c:idx val="7"/>
          <c:order val="7"/>
          <c:tx>
            <c:strRef>
              <c:f>[1]Sheet1!$AK$1</c:f>
              <c:strCache>
                <c:ptCount val="1"/>
                <c:pt idx="0">
                  <c:v>Langlee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[1]Sheet1!$AK$2:$AK$11</c:f>
              <c:numCache>
                <c:formatCode>General</c:formatCode>
                <c:ptCount val="10"/>
                <c:pt idx="0">
                  <c:v>5.0493093093093092E-2</c:v>
                </c:pt>
                <c:pt idx="1">
                  <c:v>4.6596456456456457E-2</c:v>
                </c:pt>
                <c:pt idx="2">
                  <c:v>4.7978738738738744E-2</c:v>
                </c:pt>
                <c:pt idx="3">
                  <c:v>4.8730690690690692E-2</c:v>
                </c:pt>
                <c:pt idx="4">
                  <c:v>5.0455075075075073E-2</c:v>
                </c:pt>
                <c:pt idx="5">
                  <c:v>5.0676276276276279E-2</c:v>
                </c:pt>
                <c:pt idx="6">
                  <c:v>4.7902942942942943E-2</c:v>
                </c:pt>
                <c:pt idx="7">
                  <c:v>4.5545045045045043E-2</c:v>
                </c:pt>
                <c:pt idx="8">
                  <c:v>4.4726786786786786E-2</c:v>
                </c:pt>
                <c:pt idx="9">
                  <c:v>4.7636156156156156E-2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3A-4551-ABB8-DE292A9351BF}"/>
            </c:ext>
          </c:extLst>
        </c:ser>
        <c:ser>
          <c:idx val="8"/>
          <c:order val="8"/>
          <c:tx>
            <c:strRef>
              <c:f>[1]Sheet1!$AL$1</c:f>
              <c:strCache>
                <c:ptCount val="1"/>
                <c:pt idx="0">
                  <c:v>CycWEC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[1]Sheet1!$AL$2:$AL$11</c:f>
              <c:numCache>
                <c:formatCode>General</c:formatCode>
                <c:ptCount val="10"/>
                <c:pt idx="0">
                  <c:v>6.2454319999999994E-2</c:v>
                </c:pt>
                <c:pt idx="1">
                  <c:v>5.1712440000000005E-2</c:v>
                </c:pt>
                <c:pt idx="2">
                  <c:v>5.6263440000000005E-2</c:v>
                </c:pt>
                <c:pt idx="3">
                  <c:v>5.7749440000000006E-2</c:v>
                </c:pt>
                <c:pt idx="4">
                  <c:v>6.6829960000000008E-2</c:v>
                </c:pt>
                <c:pt idx="5">
                  <c:v>6.9140759999999996E-2</c:v>
                </c:pt>
                <c:pt idx="6">
                  <c:v>6.0033599999999999E-2</c:v>
                </c:pt>
                <c:pt idx="7">
                  <c:v>5.605272E-2</c:v>
                </c:pt>
                <c:pt idx="8">
                  <c:v>5.3655960000000003E-2</c:v>
                </c:pt>
                <c:pt idx="9">
                  <c:v>6.1936199999999997E-2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3A-4551-ABB8-DE292A93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27263"/>
        <c:axId val="1"/>
      </c:barChart>
      <c:catAx>
        <c:axId val="74927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Site ID</a:t>
                </a:r>
                <a:endParaRPr lang="zh-CN" altLang="en-US" sz="1400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 b="0" i="0" u="none" strike="noStrike" kern="12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CF</a:t>
                </a:r>
                <a:endParaRPr lang="zh-CN" altLang="en-US" sz="1400" b="0" i="0" u="none" strike="noStrike" kern="1200" cap="non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492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[1]Sheet1!$BD$1</c:f>
              <c:strCache>
                <c:ptCount val="1"/>
                <c:pt idx="0">
                  <c:v>Archimedes Waveswing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[1]Sheet1!$BD$2:$BD$11</c:f>
              <c:numCache>
                <c:formatCode>General</c:formatCode>
                <c:ptCount val="10"/>
                <c:pt idx="0">
                  <c:v>7.3343999716269021E-4</c:v>
                </c:pt>
                <c:pt idx="1">
                  <c:v>6.3646772178906877E-4</c:v>
                </c:pt>
                <c:pt idx="2">
                  <c:v>6.9721648128123856E-4</c:v>
                </c:pt>
                <c:pt idx="3">
                  <c:v>7.0901096948791241E-4</c:v>
                </c:pt>
                <c:pt idx="4">
                  <c:v>8.2778010382728625E-4</c:v>
                </c:pt>
                <c:pt idx="5">
                  <c:v>8.792134524995695E-4</c:v>
                </c:pt>
                <c:pt idx="6">
                  <c:v>7.8107504290846628E-4</c:v>
                </c:pt>
                <c:pt idx="7">
                  <c:v>6.7987987601865268E-4</c:v>
                </c:pt>
                <c:pt idx="8">
                  <c:v>6.5082953922583782E-4</c:v>
                </c:pt>
                <c:pt idx="9">
                  <c:v>7.6245105139486583E-4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9-45B4-BF0A-5AD2170F5158}"/>
            </c:ext>
          </c:extLst>
        </c:ser>
        <c:ser>
          <c:idx val="1"/>
          <c:order val="1"/>
          <c:tx>
            <c:strRef>
              <c:f>[1]Sheet1!$BE$1</c:f>
              <c:strCache>
                <c:ptCount val="1"/>
                <c:pt idx="0">
                  <c:v>Aquabuoy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[1]Sheet1!$BE$2:$BE$11</c:f>
              <c:numCache>
                <c:formatCode>General</c:formatCode>
                <c:ptCount val="10"/>
                <c:pt idx="0">
                  <c:v>6.6231635639523898E-4</c:v>
                </c:pt>
                <c:pt idx="1">
                  <c:v>5.6360557766890686E-4</c:v>
                </c:pt>
                <c:pt idx="2">
                  <c:v>6.2863644128238576E-4</c:v>
                </c:pt>
                <c:pt idx="3">
                  <c:v>6.5040944013358758E-4</c:v>
                </c:pt>
                <c:pt idx="4">
                  <c:v>7.5017529306214471E-4</c:v>
                </c:pt>
                <c:pt idx="5">
                  <c:v>8.0117608392319285E-4</c:v>
                </c:pt>
                <c:pt idx="6">
                  <c:v>6.9696651684239509E-4</c:v>
                </c:pt>
                <c:pt idx="7">
                  <c:v>5.6785010079728724E-4</c:v>
                </c:pt>
                <c:pt idx="8">
                  <c:v>5.3990184289914379E-4</c:v>
                </c:pt>
                <c:pt idx="9">
                  <c:v>6.751290822192336E-4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9-45B4-BF0A-5AD2170F5158}"/>
            </c:ext>
          </c:extLst>
        </c:ser>
        <c:ser>
          <c:idx val="2"/>
          <c:order val="2"/>
          <c:tx>
            <c:strRef>
              <c:f>[1]Sheet1!$BF$1</c:f>
              <c:strCache>
                <c:ptCount val="1"/>
                <c:pt idx="0">
                  <c:v>RM5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[1]Sheet1!$BF$2:$BF$11</c:f>
              <c:numCache>
                <c:formatCode>General</c:formatCode>
                <c:ptCount val="10"/>
                <c:pt idx="0">
                  <c:v>7.1910109848029417E-3</c:v>
                </c:pt>
                <c:pt idx="1">
                  <c:v>6.9384972799065902E-3</c:v>
                </c:pt>
                <c:pt idx="2">
                  <c:v>7.3000431163342946E-3</c:v>
                </c:pt>
                <c:pt idx="3">
                  <c:v>7.7600813725672881E-3</c:v>
                </c:pt>
                <c:pt idx="4">
                  <c:v>8.4165622742179962E-3</c:v>
                </c:pt>
                <c:pt idx="5">
                  <c:v>8.6102895545809993E-3</c:v>
                </c:pt>
                <c:pt idx="6">
                  <c:v>8.287471317780867E-3</c:v>
                </c:pt>
                <c:pt idx="7">
                  <c:v>7.1739584485758139E-3</c:v>
                </c:pt>
                <c:pt idx="8">
                  <c:v>7.2243458651377827E-3</c:v>
                </c:pt>
                <c:pt idx="9">
                  <c:v>8.024328682765201E-3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9-45B4-BF0A-5AD2170F5158}"/>
            </c:ext>
          </c:extLst>
        </c:ser>
        <c:ser>
          <c:idx val="3"/>
          <c:order val="3"/>
          <c:tx>
            <c:strRef>
              <c:f>[1]Sheet1!$BG$1</c:f>
              <c:strCache>
                <c:ptCount val="1"/>
                <c:pt idx="0">
                  <c:v>Wavestar C6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[1]Sheet1!$BG$2:$BG$11</c:f>
              <c:numCache>
                <c:formatCode>General</c:formatCode>
                <c:ptCount val="10"/>
                <c:pt idx="0">
                  <c:v>9.2081689586556159E-2</c:v>
                </c:pt>
                <c:pt idx="1">
                  <c:v>9.0417566507117034E-2</c:v>
                </c:pt>
                <c:pt idx="2">
                  <c:v>9.4113862625295336E-2</c:v>
                </c:pt>
                <c:pt idx="3">
                  <c:v>9.9901218384435025E-2</c:v>
                </c:pt>
                <c:pt idx="4">
                  <c:v>0.1065955599268312</c:v>
                </c:pt>
                <c:pt idx="5">
                  <c:v>0.10821630169152399</c:v>
                </c:pt>
                <c:pt idx="6">
                  <c:v>0.10606105528297648</c:v>
                </c:pt>
                <c:pt idx="7">
                  <c:v>9.2497200490052833E-2</c:v>
                </c:pt>
                <c:pt idx="8">
                  <c:v>9.3795938448051536E-2</c:v>
                </c:pt>
                <c:pt idx="9">
                  <c:v>0.10174936599776462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9-45B4-BF0A-5AD2170F5158}"/>
            </c:ext>
          </c:extLst>
        </c:ser>
        <c:ser>
          <c:idx val="4"/>
          <c:order val="4"/>
          <c:tx>
            <c:strRef>
              <c:f>[1]Sheet1!$BH$1</c:f>
              <c:strCache>
                <c:ptCount val="1"/>
                <c:pt idx="0">
                  <c:v>Wave Dragon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[1]Sheet1!$BH$2:$BH$11</c:f>
              <c:numCache>
                <c:formatCode>General</c:formatCode>
                <c:ptCount val="10"/>
                <c:pt idx="0">
                  <c:v>0.10710766142115802</c:v>
                </c:pt>
                <c:pt idx="1">
                  <c:v>0.10434255442247728</c:v>
                </c:pt>
                <c:pt idx="2">
                  <c:v>0.1100365631492702</c:v>
                </c:pt>
                <c:pt idx="3">
                  <c:v>0.11328789099035275</c:v>
                </c:pt>
                <c:pt idx="4">
                  <c:v>0.12402301935873551</c:v>
                </c:pt>
                <c:pt idx="5">
                  <c:v>0.1296724447376818</c:v>
                </c:pt>
                <c:pt idx="6">
                  <c:v>0.1230151641347126</c:v>
                </c:pt>
                <c:pt idx="7">
                  <c:v>0.10638194605476736</c:v>
                </c:pt>
                <c:pt idx="8">
                  <c:v>0.10535355468596698</c:v>
                </c:pt>
                <c:pt idx="9">
                  <c:v>0.11640590809096449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59-45B4-BF0A-5AD2170F5158}"/>
            </c:ext>
          </c:extLst>
        </c:ser>
        <c:ser>
          <c:idx val="5"/>
          <c:order val="5"/>
          <c:tx>
            <c:strRef>
              <c:f>[1]Sheet1!$BI$1</c:f>
              <c:strCache>
                <c:ptCount val="1"/>
                <c:pt idx="0">
                  <c:v>SeaPower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[1]Sheet1!$BI$2:$BI$11</c:f>
              <c:numCache>
                <c:formatCode>General</c:formatCode>
                <c:ptCount val="10"/>
                <c:pt idx="0">
                  <c:v>1.6354662583086845E-3</c:v>
                </c:pt>
                <c:pt idx="1">
                  <c:v>1.4214156581343381E-3</c:v>
                </c:pt>
                <c:pt idx="2">
                  <c:v>1.5404752003832852E-3</c:v>
                </c:pt>
                <c:pt idx="3">
                  <c:v>1.6953837325759233E-3</c:v>
                </c:pt>
                <c:pt idx="4">
                  <c:v>1.9380117125855653E-3</c:v>
                </c:pt>
                <c:pt idx="5">
                  <c:v>1.9938884085565962E-3</c:v>
                </c:pt>
                <c:pt idx="6">
                  <c:v>1.8027722222478735E-3</c:v>
                </c:pt>
                <c:pt idx="7">
                  <c:v>1.5428430316626997E-3</c:v>
                </c:pt>
                <c:pt idx="8">
                  <c:v>1.5189810807211583E-3</c:v>
                </c:pt>
                <c:pt idx="9">
                  <c:v>1.7825703040683163E-3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59-45B4-BF0A-5AD2170F5158}"/>
            </c:ext>
          </c:extLst>
        </c:ser>
        <c:ser>
          <c:idx val="6"/>
          <c:order val="6"/>
          <c:tx>
            <c:strRef>
              <c:f>[1]Sheet1!$BJ$1</c:f>
              <c:strCache>
                <c:ptCount val="1"/>
                <c:pt idx="0">
                  <c:v>OE buoy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[1]Sheet1!$BJ$2:$BJ$11</c:f>
              <c:numCache>
                <c:formatCode>General</c:formatCode>
                <c:ptCount val="10"/>
                <c:pt idx="0">
                  <c:v>3.0343684428764064E-4</c:v>
                </c:pt>
                <c:pt idx="1">
                  <c:v>2.5472103284342488E-4</c:v>
                </c:pt>
                <c:pt idx="2">
                  <c:v>2.8589730173666768E-4</c:v>
                </c:pt>
                <c:pt idx="3">
                  <c:v>2.950150075749606E-4</c:v>
                </c:pt>
                <c:pt idx="4">
                  <c:v>3.3999738467832205E-4</c:v>
                </c:pt>
                <c:pt idx="5">
                  <c:v>3.6164639736828143E-4</c:v>
                </c:pt>
                <c:pt idx="6">
                  <c:v>3.2173536331645561E-4</c:v>
                </c:pt>
                <c:pt idx="7">
                  <c:v>2.7517813110354566E-4</c:v>
                </c:pt>
                <c:pt idx="8">
                  <c:v>2.6473231673157705E-4</c:v>
                </c:pt>
                <c:pt idx="9">
                  <c:v>3.1982438043452071E-4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59-45B4-BF0A-5AD2170F5158}"/>
            </c:ext>
          </c:extLst>
        </c:ser>
        <c:ser>
          <c:idx val="7"/>
          <c:order val="7"/>
          <c:tx>
            <c:strRef>
              <c:f>[1]Sheet1!$BK$1</c:f>
              <c:strCache>
                <c:ptCount val="1"/>
                <c:pt idx="0">
                  <c:v>Langlee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[1]Sheet1!$BK$2:$BK$11</c:f>
              <c:numCache>
                <c:formatCode>General</c:formatCode>
                <c:ptCount val="10"/>
                <c:pt idx="0">
                  <c:v>1.39028631371281E-3</c:v>
                </c:pt>
                <c:pt idx="1">
                  <c:v>1.2601213101107846E-3</c:v>
                </c:pt>
                <c:pt idx="2">
                  <c:v>1.3631420278383878E-3</c:v>
                </c:pt>
                <c:pt idx="3">
                  <c:v>1.4129030321475731E-3</c:v>
                </c:pt>
                <c:pt idx="4">
                  <c:v>1.5950201967979212E-3</c:v>
                </c:pt>
                <c:pt idx="5">
                  <c:v>1.6753526071936929E-3</c:v>
                </c:pt>
                <c:pt idx="6">
                  <c:v>1.5355761305224094E-3</c:v>
                </c:pt>
                <c:pt idx="7">
                  <c:v>1.3142896296432815E-3</c:v>
                </c:pt>
                <c:pt idx="8">
                  <c:v>1.285511917030845E-3</c:v>
                </c:pt>
                <c:pt idx="9">
                  <c:v>1.4832133514246896E-3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59-45B4-BF0A-5AD2170F5158}"/>
            </c:ext>
          </c:extLst>
        </c:ser>
        <c:ser>
          <c:idx val="8"/>
          <c:order val="8"/>
          <c:tx>
            <c:strRef>
              <c:f>[1]Sheet1!$BL$1</c:f>
              <c:strCache>
                <c:ptCount val="1"/>
                <c:pt idx="0">
                  <c:v>CycWEC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[1]Sheet1!$A$2:$A$11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[1]Sheet1!$BL$2:$BL$11</c:f>
              <c:numCache>
                <c:formatCode>General</c:formatCode>
                <c:ptCount val="10"/>
                <c:pt idx="0">
                  <c:v>9.0898447167612612E-3</c:v>
                </c:pt>
                <c:pt idx="1">
                  <c:v>6.9276214526739939E-3</c:v>
                </c:pt>
                <c:pt idx="2">
                  <c:v>8.2626816900956048E-3</c:v>
                </c:pt>
                <c:pt idx="3">
                  <c:v>8.9148434685205318E-3</c:v>
                </c:pt>
                <c:pt idx="4">
                  <c:v>1.2156305903051695E-2</c:v>
                </c:pt>
                <c:pt idx="5">
                  <c:v>1.3397648412793816E-2</c:v>
                </c:pt>
                <c:pt idx="6">
                  <c:v>1.0689708670678593E-2</c:v>
                </c:pt>
                <c:pt idx="7">
                  <c:v>8.6758618777556477E-3</c:v>
                </c:pt>
                <c:pt idx="8">
                  <c:v>8.2382893309227104E-3</c:v>
                </c:pt>
                <c:pt idx="9">
                  <c:v>1.099670358029226E-2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59-45B4-BF0A-5AD2170F5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868527"/>
        <c:axId val="1"/>
      </c:barChart>
      <c:catAx>
        <c:axId val="1772868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Station ID</a:t>
                </a:r>
                <a:endParaRPr lang="zh-CN" altLang="en-US" sz="1400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OIF</a:t>
                </a: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zh-CN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28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波浪选型!$CM$1</c:f>
              <c:strCache>
                <c:ptCount val="1"/>
                <c:pt idx="0">
                  <c:v>Archimedes Waveswing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波浪选型!$CM$2:$CM$11</c:f>
              <c:numCache>
                <c:formatCode>0.00000_ </c:formatCode>
                <c:ptCount val="10"/>
                <c:pt idx="0">
                  <c:v>9.3065128007648274E-4</c:v>
                </c:pt>
                <c:pt idx="1">
                  <c:v>9.5639378651069321E-4</c:v>
                </c:pt>
                <c:pt idx="2">
                  <c:v>1.5210844577997593E-3</c:v>
                </c:pt>
                <c:pt idx="3">
                  <c:v>8.2792627550314318E-4</c:v>
                </c:pt>
                <c:pt idx="4">
                  <c:v>8.2778010382728625E-4</c:v>
                </c:pt>
                <c:pt idx="5">
                  <c:v>8.8252014747345004E-4</c:v>
                </c:pt>
                <c:pt idx="6">
                  <c:v>9.3690000153115417E-4</c:v>
                </c:pt>
                <c:pt idx="7">
                  <c:v>1.0525758699302635E-3</c:v>
                </c:pt>
                <c:pt idx="8">
                  <c:v>1.010205204019685E-3</c:v>
                </c:pt>
                <c:pt idx="9">
                  <c:v>8.0483736561215902E-4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E-4A44-9D1C-6CEC87061F3F}"/>
            </c:ext>
          </c:extLst>
        </c:ser>
        <c:ser>
          <c:idx val="1"/>
          <c:order val="1"/>
          <c:tx>
            <c:strRef>
              <c:f>波浪选型!$CN$1</c:f>
              <c:strCache>
                <c:ptCount val="1"/>
                <c:pt idx="0">
                  <c:v>Aquabuoy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波浪选型!$CN$2:$CN$11</c:f>
              <c:numCache>
                <c:formatCode>0.00000_ </c:formatCode>
                <c:ptCount val="10"/>
                <c:pt idx="0">
                  <c:v>8.4040353304879259E-4</c:v>
                </c:pt>
                <c:pt idx="1">
                  <c:v>8.4690684864605211E-4</c:v>
                </c:pt>
                <c:pt idx="2">
                  <c:v>1.3714666048685654E-3</c:v>
                </c:pt>
                <c:pt idx="3">
                  <c:v>7.5949609878506435E-4</c:v>
                </c:pt>
                <c:pt idx="4">
                  <c:v>7.5017529306214471E-4</c:v>
                </c:pt>
                <c:pt idx="5">
                  <c:v>8.0418928273443761E-4</c:v>
                </c:pt>
                <c:pt idx="6">
                  <c:v>8.3601177201270062E-4</c:v>
                </c:pt>
                <c:pt idx="7">
                  <c:v>8.7913370423144306E-4</c:v>
                </c:pt>
                <c:pt idx="8">
                  <c:v>8.3802534839660318E-4</c:v>
                </c:pt>
                <c:pt idx="9">
                  <c:v>7.1266097802267603E-4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E-4A44-9D1C-6CEC87061F3F}"/>
            </c:ext>
          </c:extLst>
        </c:ser>
        <c:ser>
          <c:idx val="2"/>
          <c:order val="2"/>
          <c:tx>
            <c:strRef>
              <c:f>波浪选型!$CO$1</c:f>
              <c:strCache>
                <c:ptCount val="1"/>
                <c:pt idx="0">
                  <c:v>RM5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波浪选型!$CO$2:$CO$11</c:f>
              <c:numCache>
                <c:formatCode>0.00000_ </c:formatCode>
                <c:ptCount val="10"/>
                <c:pt idx="0">
                  <c:v>9.1245686135745727E-3</c:v>
                </c:pt>
                <c:pt idx="1">
                  <c:v>1.0426193597957854E-2</c:v>
                </c:pt>
                <c:pt idx="2">
                  <c:v>1.5926161276507696E-2</c:v>
                </c:pt>
                <c:pt idx="3">
                  <c:v>9.0616020694733231E-3</c:v>
                </c:pt>
                <c:pt idx="4">
                  <c:v>8.4165622742179962E-3</c:v>
                </c:pt>
                <c:pt idx="5">
                  <c:v>8.6426725909333722E-3</c:v>
                </c:pt>
                <c:pt idx="6">
                  <c:v>9.9408270188812205E-3</c:v>
                </c:pt>
                <c:pt idx="7">
                  <c:v>1.1106573118581441E-2</c:v>
                </c:pt>
                <c:pt idx="8">
                  <c:v>1.1213491934126628E-2</c:v>
                </c:pt>
                <c:pt idx="9">
                  <c:v>8.4704185875640586E-3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EE-4A44-9D1C-6CEC87061F3F}"/>
            </c:ext>
          </c:extLst>
        </c:ser>
        <c:ser>
          <c:idx val="3"/>
          <c:order val="3"/>
          <c:tx>
            <c:strRef>
              <c:f>波浪选型!$CP$1</c:f>
              <c:strCache>
                <c:ptCount val="1"/>
                <c:pt idx="0">
                  <c:v>Wavestar C6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波浪选型!$CP$2:$CP$11</c:f>
              <c:numCache>
                <c:formatCode>0.00000_ </c:formatCode>
                <c:ptCount val="10"/>
                <c:pt idx="0">
                  <c:v>0.11684110849810243</c:v>
                </c:pt>
                <c:pt idx="1">
                  <c:v>0.13586674679392874</c:v>
                </c:pt>
                <c:pt idx="2">
                  <c:v>0.2053237947556398</c:v>
                </c:pt>
                <c:pt idx="3">
                  <c:v>0.11665664878921386</c:v>
                </c:pt>
                <c:pt idx="4">
                  <c:v>0.1065955599268312</c:v>
                </c:pt>
                <c:pt idx="5">
                  <c:v>0.10862329990097812</c:v>
                </c:pt>
                <c:pt idx="6">
                  <c:v>0.12722030201733309</c:v>
                </c:pt>
                <c:pt idx="7">
                  <c:v>0.14320224013993357</c:v>
                </c:pt>
                <c:pt idx="8">
                  <c:v>0.14558826762663638</c:v>
                </c:pt>
                <c:pt idx="9">
                  <c:v>0.10740583481724045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EE-4A44-9D1C-6CEC87061F3F}"/>
            </c:ext>
          </c:extLst>
        </c:ser>
        <c:ser>
          <c:idx val="4"/>
          <c:order val="4"/>
          <c:tx>
            <c:strRef>
              <c:f>波浪选型!$CQ$1</c:f>
              <c:strCache>
                <c:ptCount val="1"/>
                <c:pt idx="0">
                  <c:v>Wave Dragon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波浪选型!$CQ$2:$CQ$11</c:f>
              <c:numCache>
                <c:formatCode>0.00000_ </c:formatCode>
                <c:ptCount val="10"/>
                <c:pt idx="0">
                  <c:v>0.13590734428611809</c:v>
                </c:pt>
                <c:pt idx="1">
                  <c:v>0.1567912516251426</c:v>
                </c:pt>
                <c:pt idx="2">
                  <c:v>0.24006160280158678</c:v>
                </c:pt>
                <c:pt idx="3">
                  <c:v>0.1322885338642816</c:v>
                </c:pt>
                <c:pt idx="4">
                  <c:v>0.12402301935873551</c:v>
                </c:pt>
                <c:pt idx="5">
                  <c:v>0.1301601388465991</c:v>
                </c:pt>
                <c:pt idx="6">
                  <c:v>0.14755676616807975</c:v>
                </c:pt>
                <c:pt idx="7">
                  <c:v>0.16469831416277872</c:v>
                </c:pt>
                <c:pt idx="8">
                  <c:v>0.16352777922823439</c:v>
                </c:pt>
                <c:pt idx="9">
                  <c:v>0.12287716600065776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EE-4A44-9D1C-6CEC87061F3F}"/>
            </c:ext>
          </c:extLst>
        </c:ser>
        <c:ser>
          <c:idx val="5"/>
          <c:order val="5"/>
          <c:tx>
            <c:strRef>
              <c:f>波浪选型!$CR$1</c:f>
              <c:strCache>
                <c:ptCount val="1"/>
                <c:pt idx="0">
                  <c:v>SeaPower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波浪选型!$CR$2:$CR$11</c:f>
              <c:numCache>
                <c:formatCode>0.00000_ </c:formatCode>
                <c:ptCount val="10"/>
                <c:pt idx="0">
                  <c:v>2.0752192036225356E-3</c:v>
                </c:pt>
                <c:pt idx="1">
                  <c:v>2.1359026655231031E-3</c:v>
                </c:pt>
                <c:pt idx="2">
                  <c:v>3.3607824081023177E-3</c:v>
                </c:pt>
                <c:pt idx="3">
                  <c:v>1.979733459235473E-3</c:v>
                </c:pt>
                <c:pt idx="4">
                  <c:v>1.9380117125855653E-3</c:v>
                </c:pt>
                <c:pt idx="5">
                  <c:v>2.0013873620363322E-3</c:v>
                </c:pt>
                <c:pt idx="6">
                  <c:v>2.1624264059123058E-3</c:v>
                </c:pt>
                <c:pt idx="7">
                  <c:v>2.3885974618458295E-3</c:v>
                </c:pt>
                <c:pt idx="8">
                  <c:v>2.3577334771516783E-3</c:v>
                </c:pt>
                <c:pt idx="9">
                  <c:v>1.8816672688956699E-3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EE-4A44-9D1C-6CEC87061F3F}"/>
            </c:ext>
          </c:extLst>
        </c:ser>
        <c:ser>
          <c:idx val="6"/>
          <c:order val="6"/>
          <c:tx>
            <c:strRef>
              <c:f>波浪选型!$CS$1</c:f>
              <c:strCache>
                <c:ptCount val="1"/>
                <c:pt idx="0">
                  <c:v>OE buoy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波浪选型!$CS$2:$CS$11</c:f>
              <c:numCache>
                <c:formatCode>0.00000_ </c:formatCode>
                <c:ptCount val="10"/>
                <c:pt idx="0">
                  <c:v>3.8502657156836388E-4</c:v>
                </c:pt>
                <c:pt idx="1">
                  <c:v>3.8275878691892816E-4</c:v>
                </c:pt>
                <c:pt idx="2">
                  <c:v>6.2372871823022328E-4</c:v>
                </c:pt>
                <c:pt idx="3">
                  <c:v>3.4449491890863168E-4</c:v>
                </c:pt>
                <c:pt idx="4">
                  <c:v>3.3999738467832205E-4</c:v>
                </c:pt>
                <c:pt idx="5">
                  <c:v>3.6300653843652819E-4</c:v>
                </c:pt>
                <c:pt idx="6">
                  <c:v>3.8592176913164862E-4</c:v>
                </c:pt>
                <c:pt idx="7">
                  <c:v>4.2602505376133849E-4</c:v>
                </c:pt>
                <c:pt idx="8">
                  <c:v>4.1091245543731708E-4</c:v>
                </c:pt>
                <c:pt idx="9">
                  <c:v>3.3760411417434357E-4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EE-4A44-9D1C-6CEC87061F3F}"/>
            </c:ext>
          </c:extLst>
        </c:ser>
        <c:ser>
          <c:idx val="7"/>
          <c:order val="7"/>
          <c:tx>
            <c:strRef>
              <c:f>波浪选型!$CT$1</c:f>
              <c:strCache>
                <c:ptCount val="1"/>
                <c:pt idx="0">
                  <c:v>Langlee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波浪选型!$CT$2:$CT$11</c:f>
              <c:numCache>
                <c:formatCode>0.00000_ </c:formatCode>
                <c:ptCount val="10"/>
                <c:pt idx="0">
                  <c:v>5.0210213145099559E-3</c:v>
                </c:pt>
                <c:pt idx="1">
                  <c:v>5.6290416479758427E-3</c:v>
                </c:pt>
                <c:pt idx="2">
                  <c:v>8.730236849876E-3</c:v>
                </c:pt>
                <c:pt idx="3">
                  <c:v>4.936694382563998E-3</c:v>
                </c:pt>
                <c:pt idx="4">
                  <c:v>4.6146966793772174E-3</c:v>
                </c:pt>
                <c:pt idx="5">
                  <c:v>4.8114303409906413E-3</c:v>
                </c:pt>
                <c:pt idx="6">
                  <c:v>5.4372110791268283E-3</c:v>
                </c:pt>
                <c:pt idx="7">
                  <c:v>5.906047964861369E-3</c:v>
                </c:pt>
                <c:pt idx="8">
                  <c:v>5.9177017649825079E-3</c:v>
                </c:pt>
                <c:pt idx="9">
                  <c:v>4.5731686622979715E-3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EE-4A44-9D1C-6CEC87061F3F}"/>
            </c:ext>
          </c:extLst>
        </c:ser>
        <c:ser>
          <c:idx val="8"/>
          <c:order val="8"/>
          <c:tx>
            <c:strRef>
              <c:f>波浪选型!$CU$1</c:f>
              <c:strCache>
                <c:ptCount val="1"/>
                <c:pt idx="0">
                  <c:v>CycWEC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波浪选型!$CL$2:$CL$11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波浪选型!$CU$2:$CU$11</c:f>
              <c:numCache>
                <c:formatCode>0.00000_ </c:formatCode>
                <c:ptCount val="10"/>
                <c:pt idx="0">
                  <c:v>1.1533970950692314E-2</c:v>
                </c:pt>
                <c:pt idx="1">
                  <c:v>1.04098509410841E-2</c:v>
                </c:pt>
                <c:pt idx="2">
                  <c:v>1.8026304649963344E-2</c:v>
                </c:pt>
                <c:pt idx="3">
                  <c:v>1.0410040841704578E-2</c:v>
                </c:pt>
                <c:pt idx="4">
                  <c:v>1.2156305903051695E-2</c:v>
                </c:pt>
                <c:pt idx="5">
                  <c:v>1.3448036559770477E-2</c:v>
                </c:pt>
                <c:pt idx="6">
                  <c:v>1.2822312223205986E-2</c:v>
                </c:pt>
                <c:pt idx="7">
                  <c:v>1.3431788740166978E-2</c:v>
                </c:pt>
                <c:pt idx="8">
                  <c:v>1.278731565290879E-2</c:v>
                </c:pt>
                <c:pt idx="9">
                  <c:v>1.160803427811998E-2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EE-4A44-9D1C-6CEC87061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500000"/>
        <c:axId val="220512000"/>
      </c:barChart>
      <c:catAx>
        <c:axId val="22050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Station ID</a:t>
                </a:r>
                <a:endParaRPr lang="zh-CN" altLang="en-US" sz="1400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20512000"/>
        <c:crosses val="autoZero"/>
        <c:auto val="1"/>
        <c:lblAlgn val="ctr"/>
        <c:lblOffset val="100"/>
        <c:noMultiLvlLbl val="0"/>
      </c:catAx>
      <c:valAx>
        <c:axId val="220512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OIF_ </a:t>
                </a:r>
                <a:r>
                  <a:rPr lang="en-US" altLang="zh-CN" sz="14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improved</a:t>
                </a:r>
                <a:endParaRPr lang="zh-CN" altLang="en-US" sz="1400" baseline="-25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2050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CF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波浪选型!$AD$1</c:f>
              <c:strCache>
                <c:ptCount val="1"/>
                <c:pt idx="0">
                  <c:v>Archimedes Waveswing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波浪选型!$AD$2:$AD$11</c:f>
              <c:numCache>
                <c:formatCode>0.000_ </c:formatCode>
                <c:ptCount val="10"/>
                <c:pt idx="0">
                  <c:v>1.7740528233151202E-2</c:v>
                </c:pt>
                <c:pt idx="1">
                  <c:v>1.5674408014571959E-2</c:v>
                </c:pt>
                <c:pt idx="2">
                  <c:v>1.6343670309653918E-2</c:v>
                </c:pt>
                <c:pt idx="3">
                  <c:v>1.6286111111111119E-2</c:v>
                </c:pt>
                <c:pt idx="4">
                  <c:v>1.7439253187613839E-2</c:v>
                </c:pt>
                <c:pt idx="5">
                  <c:v>1.771197632058288E-2</c:v>
                </c:pt>
                <c:pt idx="6">
                  <c:v>1.6227732240437161E-2</c:v>
                </c:pt>
                <c:pt idx="7">
                  <c:v>1.5691211293260478E-2</c:v>
                </c:pt>
                <c:pt idx="8">
                  <c:v>1.5081102003643E-2</c:v>
                </c:pt>
                <c:pt idx="9">
                  <c:v>1.6308697632058281E-2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4-45B7-8528-272C27BE52C2}"/>
            </c:ext>
          </c:extLst>
        </c:ser>
        <c:ser>
          <c:idx val="1"/>
          <c:order val="1"/>
          <c:tx>
            <c:strRef>
              <c:f>波浪选型!$AE$1</c:f>
              <c:strCache>
                <c:ptCount val="1"/>
                <c:pt idx="0">
                  <c:v>Aquabuoy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波浪选型!$AE$2:$AE$11</c:f>
              <c:numCache>
                <c:formatCode>0.000_ </c:formatCode>
                <c:ptCount val="10"/>
                <c:pt idx="0">
                  <c:v>5.3311020036429999E-2</c:v>
                </c:pt>
                <c:pt idx="1">
                  <c:v>4.6643442622950802E-2</c:v>
                </c:pt>
                <c:pt idx="2">
                  <c:v>4.9075591985427998E-2</c:v>
                </c:pt>
                <c:pt idx="3">
                  <c:v>4.9326958105646801E-2</c:v>
                </c:pt>
                <c:pt idx="4">
                  <c:v>5.2499089253187602E-2</c:v>
                </c:pt>
                <c:pt idx="5">
                  <c:v>5.3466757741348001E-2</c:v>
                </c:pt>
                <c:pt idx="6">
                  <c:v>4.8474954462659196E-2</c:v>
                </c:pt>
                <c:pt idx="7">
                  <c:v>4.5347905282331603E-2</c:v>
                </c:pt>
                <c:pt idx="8">
                  <c:v>4.34367030965392E-2</c:v>
                </c:pt>
                <c:pt idx="9">
                  <c:v>4.8529599271402393E-2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4-45B7-8528-272C27BE52C2}"/>
            </c:ext>
          </c:extLst>
        </c:ser>
        <c:ser>
          <c:idx val="2"/>
          <c:order val="2"/>
          <c:tx>
            <c:strRef>
              <c:f>波浪选型!$AF$1</c:f>
              <c:strCache>
                <c:ptCount val="1"/>
                <c:pt idx="0">
                  <c:v>RM5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波浪选型!$AF$2:$AF$11</c:f>
              <c:numCache>
                <c:formatCode>0.000_ </c:formatCode>
                <c:ptCount val="10"/>
                <c:pt idx="0">
                  <c:v>0.1463854735883425</c:v>
                </c:pt>
                <c:pt idx="1">
                  <c:v>0.1363811728395061</c:v>
                </c:pt>
                <c:pt idx="2">
                  <c:v>0.1393629199554747</c:v>
                </c:pt>
                <c:pt idx="3">
                  <c:v>0.14198511181946971</c:v>
                </c:pt>
                <c:pt idx="4">
                  <c:v>0.14654011080752888</c:v>
                </c:pt>
                <c:pt idx="5">
                  <c:v>0.14606544727787887</c:v>
                </c:pt>
                <c:pt idx="6">
                  <c:v>0.13929682756527029</c:v>
                </c:pt>
                <c:pt idx="7">
                  <c:v>0.13431934325035416</c:v>
                </c:pt>
                <c:pt idx="8">
                  <c:v>0.13240898856506778</c:v>
                </c:pt>
                <c:pt idx="9">
                  <c:v>0.13942363640963359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4-45B7-8528-272C27BE52C2}"/>
            </c:ext>
          </c:extLst>
        </c:ser>
        <c:ser>
          <c:idx val="3"/>
          <c:order val="3"/>
          <c:tx>
            <c:strRef>
              <c:f>波浪选型!$AG$1</c:f>
              <c:strCache>
                <c:ptCount val="1"/>
                <c:pt idx="0">
                  <c:v>Wavestar C6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波浪选型!$AG$2:$AG$11</c:f>
              <c:numCache>
                <c:formatCode>0.000_ </c:formatCode>
                <c:ptCount val="10"/>
                <c:pt idx="0">
                  <c:v>0.40575629933211832</c:v>
                </c:pt>
                <c:pt idx="1">
                  <c:v>0.38134999241044332</c:v>
                </c:pt>
                <c:pt idx="2">
                  <c:v>0.38760283849423166</c:v>
                </c:pt>
                <c:pt idx="3">
                  <c:v>0.39461236338797834</c:v>
                </c:pt>
                <c:pt idx="4">
                  <c:v>0.40395624620522164</c:v>
                </c:pt>
                <c:pt idx="5">
                  <c:v>0.40110731633272667</c:v>
                </c:pt>
                <c:pt idx="6">
                  <c:v>0.38599688828172501</c:v>
                </c:pt>
                <c:pt idx="7">
                  <c:v>0.37359327565270167</c:v>
                </c:pt>
                <c:pt idx="8">
                  <c:v>0.36956075440194336</c:v>
                </c:pt>
                <c:pt idx="9">
                  <c:v>0.38456834395871337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A4-45B7-8528-272C27BE52C2}"/>
            </c:ext>
          </c:extLst>
        </c:ser>
        <c:ser>
          <c:idx val="4"/>
          <c:order val="4"/>
          <c:tx>
            <c:strRef>
              <c:f>波浪选型!$AH$1</c:f>
              <c:strCache>
                <c:ptCount val="1"/>
                <c:pt idx="0">
                  <c:v>Wave Dragon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波浪选型!$AH$2:$AH$11</c:f>
              <c:numCache>
                <c:formatCode>0.000_ </c:formatCode>
                <c:ptCount val="10"/>
                <c:pt idx="0">
                  <c:v>0.13955278858324849</c:v>
                </c:pt>
                <c:pt idx="1">
                  <c:v>0.13064045568213389</c:v>
                </c:pt>
                <c:pt idx="2">
                  <c:v>0.13365286653700101</c:v>
                </c:pt>
                <c:pt idx="3">
                  <c:v>0.13400674570096646</c:v>
                </c:pt>
                <c:pt idx="4">
                  <c:v>0.13895223596060627</c:v>
                </c:pt>
                <c:pt idx="5">
                  <c:v>0.14001923759686338</c:v>
                </c:pt>
                <c:pt idx="6">
                  <c:v>0.13256680096323051</c:v>
                </c:pt>
                <c:pt idx="7">
                  <c:v>0.12776689512518916</c:v>
                </c:pt>
                <c:pt idx="8">
                  <c:v>0.1249016123305856</c:v>
                </c:pt>
                <c:pt idx="9">
                  <c:v>0.13117310749899661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A4-45B7-8528-272C27BE52C2}"/>
            </c:ext>
          </c:extLst>
        </c:ser>
        <c:ser>
          <c:idx val="5"/>
          <c:order val="5"/>
          <c:tx>
            <c:strRef>
              <c:f>波浪选型!$AI$1</c:f>
              <c:strCache>
                <c:ptCount val="1"/>
                <c:pt idx="0">
                  <c:v>SeaPower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波浪选型!$AI$2:$AI$11</c:f>
              <c:numCache>
                <c:formatCode>0.000_ </c:formatCode>
                <c:ptCount val="10"/>
                <c:pt idx="0">
                  <c:v>2.211614162252579E-2</c:v>
                </c:pt>
                <c:pt idx="1">
                  <c:v>1.9555450236966823E-2</c:v>
                </c:pt>
                <c:pt idx="2">
                  <c:v>2.0281377195427934E-2</c:v>
                </c:pt>
                <c:pt idx="3">
                  <c:v>2.1024672428212991E-2</c:v>
                </c:pt>
                <c:pt idx="4">
                  <c:v>2.2276805129634789E-2</c:v>
                </c:pt>
                <c:pt idx="5">
                  <c:v>2.2267660998048507E-2</c:v>
                </c:pt>
                <c:pt idx="6">
                  <c:v>2.0581934764427098E-2</c:v>
                </c:pt>
                <c:pt idx="7">
                  <c:v>1.9733565653749653E-2</c:v>
                </c:pt>
                <c:pt idx="8">
                  <c:v>1.9234457764148314E-2</c:v>
                </c:pt>
                <c:pt idx="9">
                  <c:v>2.081809311402286E-2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A4-45B7-8528-272C27BE52C2}"/>
            </c:ext>
          </c:extLst>
        </c:ser>
        <c:ser>
          <c:idx val="6"/>
          <c:order val="6"/>
          <c:tx>
            <c:strRef>
              <c:f>波浪选型!$AJ$1</c:f>
              <c:strCache>
                <c:ptCount val="1"/>
                <c:pt idx="0">
                  <c:v>OE buoy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波浪选型!$AJ$2:$AJ$11</c:f>
              <c:numCache>
                <c:formatCode>0.000_ </c:formatCode>
                <c:ptCount val="10"/>
                <c:pt idx="0">
                  <c:v>1.078225E-2</c:v>
                </c:pt>
                <c:pt idx="1">
                  <c:v>9.369714285714285E-3</c:v>
                </c:pt>
                <c:pt idx="2">
                  <c:v>9.8892142857142859E-3</c:v>
                </c:pt>
                <c:pt idx="3">
                  <c:v>9.9266785714285707E-3</c:v>
                </c:pt>
                <c:pt idx="4">
                  <c:v>1.0560857142857143E-2</c:v>
                </c:pt>
                <c:pt idx="5">
                  <c:v>1.0733785714285715E-2</c:v>
                </c:pt>
                <c:pt idx="6">
                  <c:v>9.8412857142857139E-3</c:v>
                </c:pt>
                <c:pt idx="7">
                  <c:v>9.4327500000000002E-3</c:v>
                </c:pt>
                <c:pt idx="8">
                  <c:v>9.0885357142857139E-3</c:v>
                </c:pt>
                <c:pt idx="9">
                  <c:v>9.9806785714285726E-3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A4-45B7-8528-272C27BE52C2}"/>
            </c:ext>
          </c:extLst>
        </c:ser>
        <c:ser>
          <c:idx val="7"/>
          <c:order val="7"/>
          <c:tx>
            <c:strRef>
              <c:f>波浪选型!$AK$1</c:f>
              <c:strCache>
                <c:ptCount val="1"/>
                <c:pt idx="0">
                  <c:v>Langlee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波浪选型!$AK$2:$AK$11</c:f>
              <c:numCache>
                <c:formatCode>0.000_ </c:formatCode>
                <c:ptCount val="10"/>
                <c:pt idx="0">
                  <c:v>5.0493093093093092E-2</c:v>
                </c:pt>
                <c:pt idx="1">
                  <c:v>4.6596456456456457E-2</c:v>
                </c:pt>
                <c:pt idx="2">
                  <c:v>4.7978738738738744E-2</c:v>
                </c:pt>
                <c:pt idx="3">
                  <c:v>4.8730690690690692E-2</c:v>
                </c:pt>
                <c:pt idx="4">
                  <c:v>5.0455075075075073E-2</c:v>
                </c:pt>
                <c:pt idx="5">
                  <c:v>5.0676276276276279E-2</c:v>
                </c:pt>
                <c:pt idx="6">
                  <c:v>4.7902942942942943E-2</c:v>
                </c:pt>
                <c:pt idx="7">
                  <c:v>4.5545045045045043E-2</c:v>
                </c:pt>
                <c:pt idx="8">
                  <c:v>4.4726786786786786E-2</c:v>
                </c:pt>
                <c:pt idx="9">
                  <c:v>4.7636156156156156E-2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A4-45B7-8528-272C27BE52C2}"/>
            </c:ext>
          </c:extLst>
        </c:ser>
        <c:ser>
          <c:idx val="8"/>
          <c:order val="8"/>
          <c:tx>
            <c:strRef>
              <c:f>波浪选型!$AL$1</c:f>
              <c:strCache>
                <c:ptCount val="1"/>
                <c:pt idx="0">
                  <c:v>CycWEC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波浪选型!$AC$2:$AC$11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波浪选型!$AL$2:$AL$11</c:f>
              <c:numCache>
                <c:formatCode>0.000_ </c:formatCode>
                <c:ptCount val="10"/>
                <c:pt idx="0">
                  <c:v>6.2454319999999994E-2</c:v>
                </c:pt>
                <c:pt idx="1">
                  <c:v>5.1712440000000005E-2</c:v>
                </c:pt>
                <c:pt idx="2">
                  <c:v>5.6263440000000005E-2</c:v>
                </c:pt>
                <c:pt idx="3">
                  <c:v>5.7749440000000006E-2</c:v>
                </c:pt>
                <c:pt idx="4">
                  <c:v>6.6829960000000008E-2</c:v>
                </c:pt>
                <c:pt idx="5">
                  <c:v>6.9140759999999996E-2</c:v>
                </c:pt>
                <c:pt idx="6">
                  <c:v>6.0033599999999999E-2</c:v>
                </c:pt>
                <c:pt idx="7">
                  <c:v>5.605272E-2</c:v>
                </c:pt>
                <c:pt idx="8">
                  <c:v>5.3655960000000003E-2</c:v>
                </c:pt>
                <c:pt idx="9">
                  <c:v>6.1936199999999997E-2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A4-45B7-8528-272C27BE5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717888"/>
        <c:axId val="1019718304"/>
      </c:lineChart>
      <c:catAx>
        <c:axId val="101971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9718304"/>
        <c:crosses val="autoZero"/>
        <c:auto val="1"/>
        <c:lblAlgn val="ctr"/>
        <c:lblOffset val="100"/>
        <c:noMultiLvlLbl val="0"/>
      </c:catAx>
      <c:valAx>
        <c:axId val="10197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971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AEP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波浪选型!$P$1</c:f>
              <c:strCache>
                <c:ptCount val="1"/>
                <c:pt idx="0">
                  <c:v>Archimedes Waveswing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波浪选型!$O$2:$O$11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波浪选型!$P$2:$P$11</c:f>
              <c:numCache>
                <c:formatCode>0_ </c:formatCode>
                <c:ptCount val="10"/>
                <c:pt idx="0">
                  <c:v>388.5175683060113</c:v>
                </c:pt>
                <c:pt idx="1">
                  <c:v>343.26953551912595</c:v>
                </c:pt>
                <c:pt idx="2">
                  <c:v>357.92637978142079</c:v>
                </c:pt>
                <c:pt idx="3">
                  <c:v>356.66583333333352</c:v>
                </c:pt>
                <c:pt idx="4">
                  <c:v>381.9196448087431</c:v>
                </c:pt>
                <c:pt idx="5">
                  <c:v>387.89228142076507</c:v>
                </c:pt>
                <c:pt idx="6">
                  <c:v>355.38733606557378</c:v>
                </c:pt>
                <c:pt idx="7">
                  <c:v>343.63752732240448</c:v>
                </c:pt>
                <c:pt idx="8">
                  <c:v>330.2761338797817</c:v>
                </c:pt>
                <c:pt idx="9">
                  <c:v>357.16047814207633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5-4E49-9546-EF51BCB7663E}"/>
            </c:ext>
          </c:extLst>
        </c:ser>
        <c:ser>
          <c:idx val="1"/>
          <c:order val="1"/>
          <c:tx>
            <c:strRef>
              <c:f>波浪选型!$Q$1</c:f>
              <c:strCache>
                <c:ptCount val="1"/>
                <c:pt idx="0">
                  <c:v>Aquabuoy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波浪选型!$O$2:$O$11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波浪选型!$Q$2:$Q$11</c:f>
              <c:numCache>
                <c:formatCode>0_ </c:formatCode>
                <c:ptCount val="10"/>
                <c:pt idx="0">
                  <c:v>116.7511338797817</c:v>
                </c:pt>
                <c:pt idx="1">
                  <c:v>102.14913934426225</c:v>
                </c:pt>
                <c:pt idx="2">
                  <c:v>107.47554644808731</c:v>
                </c:pt>
                <c:pt idx="3">
                  <c:v>108.0260382513665</c:v>
                </c:pt>
                <c:pt idx="4">
                  <c:v>114.97300546448083</c:v>
                </c:pt>
                <c:pt idx="5">
                  <c:v>117.09219945355211</c:v>
                </c:pt>
                <c:pt idx="6">
                  <c:v>106.16015027322364</c:v>
                </c:pt>
                <c:pt idx="7">
                  <c:v>99.311912568306212</c:v>
                </c:pt>
                <c:pt idx="8">
                  <c:v>95.126379781420837</c:v>
                </c:pt>
                <c:pt idx="9">
                  <c:v>106.27982240437126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5-4E49-9546-EF51BCB7663E}"/>
            </c:ext>
          </c:extLst>
        </c:ser>
        <c:ser>
          <c:idx val="2"/>
          <c:order val="2"/>
          <c:tx>
            <c:strRef>
              <c:f>波浪选型!$R$1</c:f>
              <c:strCache>
                <c:ptCount val="1"/>
                <c:pt idx="0">
                  <c:v>RM5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波浪选型!$O$2:$O$11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波浪选型!$R$2:$R$11</c:f>
              <c:numCache>
                <c:formatCode>0_ </c:formatCode>
                <c:ptCount val="10"/>
                <c:pt idx="0">
                  <c:v>461.64122950819694</c:v>
                </c:pt>
                <c:pt idx="1">
                  <c:v>430.09166666666647</c:v>
                </c:pt>
                <c:pt idx="2">
                  <c:v>439.49490437158505</c:v>
                </c:pt>
                <c:pt idx="3">
                  <c:v>447.76424863387967</c:v>
                </c:pt>
                <c:pt idx="4">
                  <c:v>462.12889344262311</c:v>
                </c:pt>
                <c:pt idx="5">
                  <c:v>460.63199453551886</c:v>
                </c:pt>
                <c:pt idx="6">
                  <c:v>439.28647540983633</c:v>
                </c:pt>
                <c:pt idx="7">
                  <c:v>423.58948087431696</c:v>
                </c:pt>
                <c:pt idx="8">
                  <c:v>417.56498633879772</c:v>
                </c:pt>
                <c:pt idx="9">
                  <c:v>439.6863797814205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5-4E49-9546-EF51BCB7663E}"/>
            </c:ext>
          </c:extLst>
        </c:ser>
        <c:ser>
          <c:idx val="3"/>
          <c:order val="3"/>
          <c:tx>
            <c:strRef>
              <c:f>波浪选型!$S$1</c:f>
              <c:strCache>
                <c:ptCount val="1"/>
                <c:pt idx="0">
                  <c:v>Wavestar C6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波浪选型!$O$2:$O$11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波浪选型!$S$2:$S$11</c:f>
              <c:numCache>
                <c:formatCode>0_ </c:formatCode>
                <c:ptCount val="10"/>
                <c:pt idx="0">
                  <c:v>2132.6551092896138</c:v>
                </c:pt>
                <c:pt idx="1">
                  <c:v>2004.3755601092901</c:v>
                </c:pt>
                <c:pt idx="2">
                  <c:v>2037.2405191256817</c:v>
                </c:pt>
                <c:pt idx="3">
                  <c:v>2074.0825819672141</c:v>
                </c:pt>
                <c:pt idx="4">
                  <c:v>2123.1940300546453</c:v>
                </c:pt>
                <c:pt idx="5">
                  <c:v>2108.2200546448116</c:v>
                </c:pt>
                <c:pt idx="6">
                  <c:v>2028.7996448087467</c:v>
                </c:pt>
                <c:pt idx="7">
                  <c:v>1963.6062568306002</c:v>
                </c:pt>
                <c:pt idx="8">
                  <c:v>1942.4113251366143</c:v>
                </c:pt>
                <c:pt idx="9">
                  <c:v>2021.2912158469974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5-4E49-9546-EF51BCB7663E}"/>
            </c:ext>
          </c:extLst>
        </c:ser>
        <c:ser>
          <c:idx val="4"/>
          <c:order val="4"/>
          <c:tx>
            <c:strRef>
              <c:f>波浪选型!$T$1</c:f>
              <c:strCache>
                <c:ptCount val="1"/>
                <c:pt idx="0">
                  <c:v>Wave Dragon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波浪选型!$O$2:$O$11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波浪选型!$T$2:$T$11</c:f>
              <c:numCache>
                <c:formatCode>0_ </c:formatCode>
                <c:ptCount val="10"/>
                <c:pt idx="0">
                  <c:v>7212.646325136614</c:v>
                </c:pt>
                <c:pt idx="1">
                  <c:v>6752.0213114754088</c:v>
                </c:pt>
                <c:pt idx="2">
                  <c:v>6907.7147540983606</c:v>
                </c:pt>
                <c:pt idx="3">
                  <c:v>6926.0046448087496</c:v>
                </c:pt>
                <c:pt idx="4">
                  <c:v>7181.6073633879741</c:v>
                </c:pt>
                <c:pt idx="5">
                  <c:v>7236.7542759562866</c:v>
                </c:pt>
                <c:pt idx="6">
                  <c:v>6851.5825409836052</c:v>
                </c:pt>
                <c:pt idx="7">
                  <c:v>6603.5042076502759</c:v>
                </c:pt>
                <c:pt idx="8">
                  <c:v>6455.4149316939856</c:v>
                </c:pt>
                <c:pt idx="9">
                  <c:v>6779.5508879781401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E5-4E49-9546-EF51BCB7663E}"/>
            </c:ext>
          </c:extLst>
        </c:ser>
        <c:ser>
          <c:idx val="5"/>
          <c:order val="5"/>
          <c:tx>
            <c:strRef>
              <c:f>波浪选型!$U$1</c:f>
              <c:strCache>
                <c:ptCount val="1"/>
                <c:pt idx="0">
                  <c:v>SeaPower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波浪选型!$O$2:$O$11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波浪选型!$U$2:$U$11</c:f>
              <c:numCache>
                <c:formatCode>0_ </c:formatCode>
                <c:ptCount val="10"/>
                <c:pt idx="0">
                  <c:v>694.93605600000001</c:v>
                </c:pt>
                <c:pt idx="1">
                  <c:v>614.47370399999988</c:v>
                </c:pt>
                <c:pt idx="2">
                  <c:v>637.28386799999998</c:v>
                </c:pt>
                <c:pt idx="3">
                  <c:v>660.63977999999986</c:v>
                </c:pt>
                <c:pt idx="4">
                  <c:v>699.98444399999994</c:v>
                </c:pt>
                <c:pt idx="5">
                  <c:v>699.69711600000005</c:v>
                </c:pt>
                <c:pt idx="6">
                  <c:v>646.728024</c:v>
                </c:pt>
                <c:pt idx="7">
                  <c:v>620.07046800000001</c:v>
                </c:pt>
                <c:pt idx="8">
                  <c:v>604.38743999999997</c:v>
                </c:pt>
                <c:pt idx="9">
                  <c:v>654.14862000000005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5-4E49-9546-EF51BCB7663E}"/>
            </c:ext>
          </c:extLst>
        </c:ser>
        <c:ser>
          <c:idx val="6"/>
          <c:order val="6"/>
          <c:tx>
            <c:strRef>
              <c:f>波浪选型!$V$1</c:f>
              <c:strCache>
                <c:ptCount val="1"/>
                <c:pt idx="0">
                  <c:v>OE buoy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波浪选型!$O$2:$O$11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波浪选型!$V$2:$V$11</c:f>
              <c:numCache>
                <c:formatCode>0_ </c:formatCode>
                <c:ptCount val="10"/>
                <c:pt idx="0">
                  <c:v>264.46702799999997</c:v>
                </c:pt>
                <c:pt idx="1">
                  <c:v>229.82035199999999</c:v>
                </c:pt>
                <c:pt idx="2">
                  <c:v>242.56264800000002</c:v>
                </c:pt>
                <c:pt idx="3">
                  <c:v>243.48157199999997</c:v>
                </c:pt>
                <c:pt idx="4">
                  <c:v>259.03670399999999</c:v>
                </c:pt>
                <c:pt idx="5">
                  <c:v>263.27829600000001</c:v>
                </c:pt>
                <c:pt idx="6">
                  <c:v>241.38705599999997</c:v>
                </c:pt>
                <c:pt idx="7">
                  <c:v>231.36649199999999</c:v>
                </c:pt>
                <c:pt idx="8">
                  <c:v>222.92360399999998</c:v>
                </c:pt>
                <c:pt idx="9">
                  <c:v>244.806084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E5-4E49-9546-EF51BCB7663E}"/>
            </c:ext>
          </c:extLst>
        </c:ser>
        <c:ser>
          <c:idx val="7"/>
          <c:order val="7"/>
          <c:tx>
            <c:strRef>
              <c:f>波浪选型!$W$1</c:f>
              <c:strCache>
                <c:ptCount val="1"/>
                <c:pt idx="0">
                  <c:v>Langlee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波浪选型!$O$2:$O$11</c:f>
              <c:strCache>
                <c:ptCount val="10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  <c:pt idx="6">
                  <c:v>H7</c:v>
                </c:pt>
                <c:pt idx="7">
                  <c:v>H8</c:v>
                </c:pt>
                <c:pt idx="8">
                  <c:v>H9</c:v>
                </c:pt>
                <c:pt idx="9">
                  <c:v>H10</c:v>
                </c:pt>
              </c:strCache>
            </c:strRef>
          </c:cat>
          <c:val>
            <c:numRef>
              <c:f>波浪选型!$W$2:$W$11</c:f>
              <c:numCache>
                <c:formatCode>0_ </c:formatCode>
                <c:ptCount val="10"/>
                <c:pt idx="0">
                  <c:v>736.46195999999998</c:v>
                </c:pt>
                <c:pt idx="1">
                  <c:v>679.62795600000004</c:v>
                </c:pt>
                <c:pt idx="2">
                  <c:v>699.78909599999997</c:v>
                </c:pt>
                <c:pt idx="3">
                  <c:v>710.75661600000001</c:v>
                </c:pt>
                <c:pt idx="4">
                  <c:v>735.90745200000003</c:v>
                </c:pt>
                <c:pt idx="5">
                  <c:v>739.13376000000005</c:v>
                </c:pt>
                <c:pt idx="6">
                  <c:v>698.68358399999988</c:v>
                </c:pt>
                <c:pt idx="7">
                  <c:v>664.29269999999997</c:v>
                </c:pt>
                <c:pt idx="8">
                  <c:v>652.35807599999998</c:v>
                </c:pt>
                <c:pt idx="9">
                  <c:v>694.79239199999995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E5-4E49-9546-EF51BCB7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715472"/>
        <c:axId val="914718384"/>
      </c:lineChart>
      <c:catAx>
        <c:axId val="91471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4718384"/>
        <c:crosses val="autoZero"/>
        <c:auto val="1"/>
        <c:lblAlgn val="ctr"/>
        <c:lblOffset val="100"/>
        <c:noMultiLvlLbl val="0"/>
      </c:catAx>
      <c:valAx>
        <c:axId val="9147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471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潮流!$H$1</c:f>
              <c:strCache>
                <c:ptCount val="1"/>
                <c:pt idx="0">
                  <c:v>NNU-300kW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潮流!$H$2:$H$11</c:f>
              <c:numCache>
                <c:formatCode>0.00_ </c:formatCode>
                <c:ptCount val="10"/>
                <c:pt idx="0">
                  <c:v>172.71551875920002</c:v>
                </c:pt>
                <c:pt idx="1">
                  <c:v>173.20042908479999</c:v>
                </c:pt>
                <c:pt idx="2">
                  <c:v>213.55927700399999</c:v>
                </c:pt>
                <c:pt idx="3">
                  <c:v>217.66114139760001</c:v>
                </c:pt>
                <c:pt idx="4">
                  <c:v>290.54872788000006</c:v>
                </c:pt>
                <c:pt idx="5">
                  <c:v>150.7435164648</c:v>
                </c:pt>
                <c:pt idx="6">
                  <c:v>241.50124084800001</c:v>
                </c:pt>
                <c:pt idx="7">
                  <c:v>187.88287779600003</c:v>
                </c:pt>
                <c:pt idx="8">
                  <c:v>226.74963279528001</c:v>
                </c:pt>
                <c:pt idx="9">
                  <c:v>201.58755650640001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6-4D09-81EB-334D1F35C171}"/>
            </c:ext>
          </c:extLst>
        </c:ser>
        <c:ser>
          <c:idx val="1"/>
          <c:order val="1"/>
          <c:tx>
            <c:strRef>
              <c:f>潮流!$I$1</c:f>
              <c:strCache>
                <c:ptCount val="1"/>
                <c:pt idx="0">
                  <c:v>ZJU-600kW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潮流!$I$2:$I$11</c:f>
              <c:numCache>
                <c:formatCode>0.00_ </c:formatCode>
                <c:ptCount val="10"/>
                <c:pt idx="0">
                  <c:v>142.65614573224201</c:v>
                </c:pt>
                <c:pt idx="1">
                  <c:v>143.05666236544801</c:v>
                </c:pt>
                <c:pt idx="2">
                  <c:v>176.39146477179</c:v>
                </c:pt>
                <c:pt idx="3">
                  <c:v>179.779441537926</c:v>
                </c:pt>
                <c:pt idx="4">
                  <c:v>239.98168760130002</c:v>
                </c:pt>
                <c:pt idx="5">
                  <c:v>124.508146155498</c:v>
                </c:pt>
                <c:pt idx="6">
                  <c:v>199.47041502948002</c:v>
                </c:pt>
                <c:pt idx="7">
                  <c:v>155.18378075121001</c:v>
                </c:pt>
                <c:pt idx="8">
                  <c:v>187.28617377963781</c:v>
                </c:pt>
                <c:pt idx="9">
                  <c:v>166.50330002411403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6-4D09-81EB-334D1F35C171}"/>
            </c:ext>
          </c:extLst>
        </c:ser>
        <c:ser>
          <c:idx val="2"/>
          <c:order val="2"/>
          <c:tx>
            <c:strRef>
              <c:f>潮流!$J$1</c:f>
              <c:strCache>
                <c:ptCount val="1"/>
                <c:pt idx="0">
                  <c:v>O2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潮流!$J$2:$J$11</c:f>
              <c:numCache>
                <c:formatCode>0.00_ </c:formatCode>
                <c:ptCount val="10"/>
                <c:pt idx="0">
                  <c:v>578.50734311040003</c:v>
                </c:pt>
                <c:pt idx="1">
                  <c:v>580.13154101759994</c:v>
                </c:pt>
                <c:pt idx="2">
                  <c:v>715.31273404799992</c:v>
                </c:pt>
                <c:pt idx="3">
                  <c:v>729.05185077120007</c:v>
                </c:pt>
                <c:pt idx="4">
                  <c:v>973.18743456000004</c:v>
                </c:pt>
                <c:pt idx="5">
                  <c:v>504.91253957760006</c:v>
                </c:pt>
                <c:pt idx="6">
                  <c:v>808.90381017600009</c:v>
                </c:pt>
                <c:pt idx="7">
                  <c:v>629.31012355200005</c:v>
                </c:pt>
                <c:pt idx="8">
                  <c:v>759.49357974335999</c:v>
                </c:pt>
                <c:pt idx="9">
                  <c:v>675.21368407679995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B6-4D09-81EB-334D1F35C171}"/>
            </c:ext>
          </c:extLst>
        </c:ser>
        <c:ser>
          <c:idx val="3"/>
          <c:order val="3"/>
          <c:tx>
            <c:strRef>
              <c:f>潮流!$K$1</c:f>
              <c:strCache>
                <c:ptCount val="1"/>
                <c:pt idx="0">
                  <c:v>AR1500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潮流!$K$2:$K$11</c:f>
              <c:numCache>
                <c:formatCode>0.00_ </c:formatCode>
                <c:ptCount val="10"/>
                <c:pt idx="0">
                  <c:v>193.63262310720003</c:v>
                </c:pt>
                <c:pt idx="1">
                  <c:v>194.17625959680001</c:v>
                </c:pt>
                <c:pt idx="2">
                  <c:v>239.42285726399996</c:v>
                </c:pt>
                <c:pt idx="3">
                  <c:v>244.0214872416</c:v>
                </c:pt>
                <c:pt idx="4">
                  <c:v>325.73629008000006</c:v>
                </c:pt>
                <c:pt idx="5">
                  <c:v>168.9996516768</c:v>
                </c:pt>
                <c:pt idx="6">
                  <c:v>270.74879596799997</c:v>
                </c:pt>
                <c:pt idx="7">
                  <c:v>210.636859536</c:v>
                </c:pt>
                <c:pt idx="8">
                  <c:v>254.21066098848002</c:v>
                </c:pt>
                <c:pt idx="9">
                  <c:v>226.0012744224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B6-4D09-81EB-334D1F35C171}"/>
            </c:ext>
          </c:extLst>
        </c:ser>
        <c:ser>
          <c:idx val="4"/>
          <c:order val="4"/>
          <c:tx>
            <c:strRef>
              <c:f>潮流!$L$1</c:f>
              <c:strCache>
                <c:ptCount val="1"/>
                <c:pt idx="0">
                  <c:v>SeaGen S 2MW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潮流!$L$2:$L$11</c:f>
              <c:numCache>
                <c:formatCode>0.00_ </c:formatCode>
                <c:ptCount val="10"/>
                <c:pt idx="0">
                  <c:v>478.10524224000005</c:v>
                </c:pt>
                <c:pt idx="1">
                  <c:v>479.44755456000001</c:v>
                </c:pt>
                <c:pt idx="2">
                  <c:v>591.16754879999996</c:v>
                </c:pt>
                <c:pt idx="3">
                  <c:v>602.52219072000003</c:v>
                </c:pt>
                <c:pt idx="4">
                  <c:v>804.28713600000003</c:v>
                </c:pt>
                <c:pt idx="5">
                  <c:v>417.28309056000006</c:v>
                </c:pt>
                <c:pt idx="6">
                  <c:v>668.51554560000011</c:v>
                </c:pt>
                <c:pt idx="7">
                  <c:v>520.09101120000003</c:v>
                </c:pt>
                <c:pt idx="8">
                  <c:v>627.68064441600006</c:v>
                </c:pt>
                <c:pt idx="9">
                  <c:v>558.02783808000004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B6-4D09-81EB-334D1F35C171}"/>
            </c:ext>
          </c:extLst>
        </c:ser>
        <c:ser>
          <c:idx val="5"/>
          <c:order val="5"/>
          <c:tx>
            <c:strRef>
              <c:f>潮流!$M$1</c:f>
              <c:strCache>
                <c:ptCount val="1"/>
                <c:pt idx="0">
                  <c:v>SeaGen 1.2MW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潮流!$M$2:$M$11</c:f>
              <c:numCache>
                <c:formatCode>0.00_ </c:formatCode>
                <c:ptCount val="10"/>
                <c:pt idx="0">
                  <c:v>305.98735503360007</c:v>
                </c:pt>
                <c:pt idx="1">
                  <c:v>306.84643491840001</c:v>
                </c:pt>
                <c:pt idx="2">
                  <c:v>378.34723123200001</c:v>
                </c:pt>
                <c:pt idx="3">
                  <c:v>385.61420206080004</c:v>
                </c:pt>
                <c:pt idx="4">
                  <c:v>514.74376704000008</c:v>
                </c:pt>
                <c:pt idx="5">
                  <c:v>267.06117795840004</c:v>
                </c:pt>
                <c:pt idx="6">
                  <c:v>427.84994918400002</c:v>
                </c:pt>
                <c:pt idx="7">
                  <c:v>332.85824716800005</c:v>
                </c:pt>
                <c:pt idx="8">
                  <c:v>401.71561242624</c:v>
                </c:pt>
                <c:pt idx="9">
                  <c:v>357.13781637120002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B6-4D09-81EB-334D1F35C171}"/>
            </c:ext>
          </c:extLst>
        </c:ser>
        <c:ser>
          <c:idx val="6"/>
          <c:order val="6"/>
          <c:tx>
            <c:strRef>
              <c:f>潮流!$N$1</c:f>
              <c:strCache>
                <c:ptCount val="1"/>
                <c:pt idx="0">
                  <c:v>HyTide 110-5.3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潮流!$N$2:$N$11</c:f>
              <c:numCache>
                <c:formatCode>0.00_ </c:formatCode>
                <c:ptCount val="10"/>
                <c:pt idx="0">
                  <c:v>16.787470318152003</c:v>
                </c:pt>
                <c:pt idx="1">
                  <c:v>16.834602259488001</c:v>
                </c:pt>
                <c:pt idx="2">
                  <c:v>20.757370557239998</c:v>
                </c:pt>
                <c:pt idx="3">
                  <c:v>21.156060421656001</c:v>
                </c:pt>
                <c:pt idx="4">
                  <c:v>28.240532062800003</c:v>
                </c:pt>
                <c:pt idx="5">
                  <c:v>14.651852517288001</c:v>
                </c:pt>
                <c:pt idx="6">
                  <c:v>23.473252094880003</c:v>
                </c:pt>
                <c:pt idx="7">
                  <c:v>18.261695630759998</c:v>
                </c:pt>
                <c:pt idx="8">
                  <c:v>22.039436627056805</c:v>
                </c:pt>
                <c:pt idx="9">
                  <c:v>19.593752464584004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B6-4D09-81EB-334D1F35C171}"/>
            </c:ext>
          </c:extLst>
        </c:ser>
        <c:ser>
          <c:idx val="7"/>
          <c:order val="7"/>
          <c:tx>
            <c:strRef>
              <c:f>潮流!$O$1</c:f>
              <c:strCache>
                <c:ptCount val="1"/>
                <c:pt idx="0">
                  <c:v>HyTide 1000-16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潮流!$O$2:$O$11</c:f>
              <c:numCache>
                <c:formatCode>0.00_ </c:formatCode>
                <c:ptCount val="10"/>
                <c:pt idx="0">
                  <c:v>152.99367751680003</c:v>
                </c:pt>
                <c:pt idx="1">
                  <c:v>153.4232174592</c:v>
                </c:pt>
                <c:pt idx="2">
                  <c:v>189.17361561600001</c:v>
                </c:pt>
                <c:pt idx="3">
                  <c:v>192.80710103040002</c:v>
                </c:pt>
                <c:pt idx="4">
                  <c:v>257.37188352000004</c:v>
                </c:pt>
                <c:pt idx="5">
                  <c:v>133.53058897920002</c:v>
                </c:pt>
                <c:pt idx="6">
                  <c:v>213.92497459200001</c:v>
                </c:pt>
                <c:pt idx="7">
                  <c:v>166.42912358400002</c:v>
                </c:pt>
                <c:pt idx="8">
                  <c:v>200.85780621312</c:v>
                </c:pt>
                <c:pt idx="9">
                  <c:v>178.56890818560001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B6-4D09-81EB-334D1F35C171}"/>
            </c:ext>
          </c:extLst>
        </c:ser>
        <c:ser>
          <c:idx val="8"/>
          <c:order val="8"/>
          <c:tx>
            <c:strRef>
              <c:f>潮流!$P$1</c:f>
              <c:strCache>
                <c:ptCount val="1"/>
                <c:pt idx="0">
                  <c:v>Sabella D10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潮流!$P$2:$P$11</c:f>
              <c:numCache>
                <c:formatCode>0.00_ </c:formatCode>
                <c:ptCount val="10"/>
                <c:pt idx="0">
                  <c:v>59.763155280000007</c:v>
                </c:pt>
                <c:pt idx="1">
                  <c:v>59.930944320000002</c:v>
                </c:pt>
                <c:pt idx="2">
                  <c:v>73.895943599999995</c:v>
                </c:pt>
                <c:pt idx="3">
                  <c:v>75.315273840000003</c:v>
                </c:pt>
                <c:pt idx="4">
                  <c:v>100.535892</c:v>
                </c:pt>
                <c:pt idx="5">
                  <c:v>52.160386320000008</c:v>
                </c:pt>
                <c:pt idx="6">
                  <c:v>83.564443200000014</c:v>
                </c:pt>
                <c:pt idx="7">
                  <c:v>65.011376400000003</c:v>
                </c:pt>
                <c:pt idx="8">
                  <c:v>78.460080552000008</c:v>
                </c:pt>
                <c:pt idx="9">
                  <c:v>69.753479760000005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B6-4D09-81EB-334D1F35C171}"/>
            </c:ext>
          </c:extLst>
        </c:ser>
        <c:ser>
          <c:idx val="9"/>
          <c:order val="9"/>
          <c:tx>
            <c:strRef>
              <c:f>潮流!$Q$1</c:f>
              <c:strCache>
                <c:ptCount val="1"/>
                <c:pt idx="0">
                  <c:v>GE-Alstom1MW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潮流!$Q$2:$Q$11</c:f>
              <c:numCache>
                <c:formatCode>0.00_ </c:formatCode>
                <c:ptCount val="10"/>
                <c:pt idx="0">
                  <c:v>193.63262310720003</c:v>
                </c:pt>
                <c:pt idx="1">
                  <c:v>194.17625959680001</c:v>
                </c:pt>
                <c:pt idx="2">
                  <c:v>239.42285726399996</c:v>
                </c:pt>
                <c:pt idx="3">
                  <c:v>244.0214872416</c:v>
                </c:pt>
                <c:pt idx="4">
                  <c:v>325.73629008000006</c:v>
                </c:pt>
                <c:pt idx="5">
                  <c:v>168.9996516768</c:v>
                </c:pt>
                <c:pt idx="6">
                  <c:v>270.74879596799997</c:v>
                </c:pt>
                <c:pt idx="7">
                  <c:v>210.636859536</c:v>
                </c:pt>
                <c:pt idx="8">
                  <c:v>254.21066098848002</c:v>
                </c:pt>
                <c:pt idx="9">
                  <c:v>226.0012744224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B6-4D09-81EB-334D1F35C171}"/>
            </c:ext>
          </c:extLst>
        </c:ser>
        <c:ser>
          <c:idx val="10"/>
          <c:order val="10"/>
          <c:tx>
            <c:strRef>
              <c:f>潮流!$R$1</c:f>
              <c:strCache>
                <c:ptCount val="1"/>
                <c:pt idx="0">
                  <c:v>Nova's M100-D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潮流!$R$2:$R$11</c:f>
              <c:numCache>
                <c:formatCode>0.00_ </c:formatCode>
                <c:ptCount val="10"/>
                <c:pt idx="0">
                  <c:v>43.178879689800006</c:v>
                </c:pt>
                <c:pt idx="1">
                  <c:v>43.300107271199998</c:v>
                </c:pt>
                <c:pt idx="2">
                  <c:v>53.389819250999999</c:v>
                </c:pt>
                <c:pt idx="3">
                  <c:v>54.415285349400001</c:v>
                </c:pt>
                <c:pt idx="4">
                  <c:v>72.637181970000015</c:v>
                </c:pt>
                <c:pt idx="5">
                  <c:v>37.685879116199999</c:v>
                </c:pt>
                <c:pt idx="6">
                  <c:v>60.375310212000002</c:v>
                </c:pt>
                <c:pt idx="7">
                  <c:v>46.970719449000008</c:v>
                </c:pt>
                <c:pt idx="8">
                  <c:v>56.687408198820002</c:v>
                </c:pt>
                <c:pt idx="9">
                  <c:v>50.396889126600001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B6-4D09-81EB-334D1F35C171}"/>
            </c:ext>
          </c:extLst>
        </c:ser>
        <c:ser>
          <c:idx val="11"/>
          <c:order val="11"/>
          <c:tx>
            <c:strRef>
              <c:f>潮流!$S$1</c:f>
              <c:strCache>
                <c:ptCount val="1"/>
                <c:pt idx="0">
                  <c:v>T-2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潮流!$S$2:$S$11</c:f>
              <c:numCache>
                <c:formatCode>0.00_ </c:formatCode>
                <c:ptCount val="10"/>
                <c:pt idx="0">
                  <c:v>13.201681001352005</c:v>
                </c:pt>
                <c:pt idx="1">
                  <c:v>13.238745600288004</c:v>
                </c:pt>
                <c:pt idx="2">
                  <c:v>16.323613941240005</c:v>
                </c:pt>
                <c:pt idx="3">
                  <c:v>16.637143991256004</c:v>
                </c:pt>
                <c:pt idx="4">
                  <c:v>22.208378542800009</c:v>
                </c:pt>
                <c:pt idx="5">
                  <c:v>11.522229338088003</c:v>
                </c:pt>
                <c:pt idx="6">
                  <c:v>18.459385502880004</c:v>
                </c:pt>
                <c:pt idx="7">
                  <c:v>14.361013046760004</c:v>
                </c:pt>
                <c:pt idx="8">
                  <c:v>17.331831793936804</c:v>
                </c:pt>
                <c:pt idx="9">
                  <c:v>15.408543678984005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B6-4D09-81EB-334D1F35C171}"/>
            </c:ext>
          </c:extLst>
        </c:ser>
        <c:ser>
          <c:idx val="12"/>
          <c:order val="12"/>
          <c:tx>
            <c:strRef>
              <c:f>潮流!$T$1</c:f>
              <c:strCache>
                <c:ptCount val="1"/>
                <c:pt idx="0">
                  <c:v>SR2000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潮流!$T$2:$T$11</c:f>
              <c:numCache>
                <c:formatCode>0.00_ </c:formatCode>
                <c:ptCount val="10"/>
                <c:pt idx="0">
                  <c:v>305.98735503360007</c:v>
                </c:pt>
                <c:pt idx="1">
                  <c:v>306.84643491840001</c:v>
                </c:pt>
                <c:pt idx="2">
                  <c:v>378.34723123200001</c:v>
                </c:pt>
                <c:pt idx="3">
                  <c:v>385.61420206080004</c:v>
                </c:pt>
                <c:pt idx="4">
                  <c:v>514.74376704000008</c:v>
                </c:pt>
                <c:pt idx="5">
                  <c:v>267.06117795840004</c:v>
                </c:pt>
                <c:pt idx="6">
                  <c:v>427.84994918400002</c:v>
                </c:pt>
                <c:pt idx="7">
                  <c:v>332.85824716800005</c:v>
                </c:pt>
                <c:pt idx="8">
                  <c:v>401.71561242624</c:v>
                </c:pt>
                <c:pt idx="9">
                  <c:v>357.13781637120002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B6-4D09-81EB-334D1F35C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407760"/>
        <c:axId val="1043383760"/>
      </c:barChart>
      <c:catAx>
        <c:axId val="1043407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位置编号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43383760"/>
        <c:crosses val="autoZero"/>
        <c:auto val="1"/>
        <c:lblAlgn val="ctr"/>
        <c:lblOffset val="100"/>
        <c:noMultiLvlLbl val="0"/>
      </c:catAx>
      <c:valAx>
        <c:axId val="10433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年发电量 </a:t>
                </a:r>
                <a:r>
                  <a:rPr lang="en-US" altLang="zh-CN"/>
                  <a:t>(MWh)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43407760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潮流!$W$1</c:f>
              <c:strCache>
                <c:ptCount val="1"/>
                <c:pt idx="0">
                  <c:v>NNU-300kW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潮流!$W$2:$W$11</c:f>
              <c:numCache>
                <c:formatCode>0.000_);[Red]\(0.000\)</c:formatCode>
                <c:ptCount val="10"/>
                <c:pt idx="0">
                  <c:v>6.572127806666668E-2</c:v>
                </c:pt>
                <c:pt idx="1">
                  <c:v>6.5905794933333331E-2</c:v>
                </c:pt>
                <c:pt idx="2">
                  <c:v>8.1263043000000007E-2</c:v>
                </c:pt>
                <c:pt idx="3">
                  <c:v>8.2823874200000008E-2</c:v>
                </c:pt>
                <c:pt idx="4">
                  <c:v>0.11055887666666669</c:v>
                </c:pt>
                <c:pt idx="5">
                  <c:v>5.7360546599999999E-2</c:v>
                </c:pt>
                <c:pt idx="6">
                  <c:v>9.1895449333333337E-2</c:v>
                </c:pt>
                <c:pt idx="7">
                  <c:v>7.1492723666666674E-2</c:v>
                </c:pt>
                <c:pt idx="8">
                  <c:v>8.6282204260000009E-2</c:v>
                </c:pt>
                <c:pt idx="9">
                  <c:v>7.6707593800000015E-2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0-4A5E-9AEF-2694C3214732}"/>
            </c:ext>
          </c:extLst>
        </c:ser>
        <c:ser>
          <c:idx val="1"/>
          <c:order val="1"/>
          <c:tx>
            <c:strRef>
              <c:f>潮流!$X$1</c:f>
              <c:strCache>
                <c:ptCount val="1"/>
                <c:pt idx="0">
                  <c:v>ZJU-600kW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潮流!$X$2:$X$11</c:f>
              <c:numCache>
                <c:formatCode>0.000_);[Red]\(0.000\)</c:formatCode>
                <c:ptCount val="10"/>
                <c:pt idx="0">
                  <c:v>2.7141580238250005E-2</c:v>
                </c:pt>
                <c:pt idx="1">
                  <c:v>2.7217782033000001E-2</c:v>
                </c:pt>
                <c:pt idx="2">
                  <c:v>3.3560019933749997E-2</c:v>
                </c:pt>
                <c:pt idx="3">
                  <c:v>3.4204612164750001E-2</c:v>
                </c:pt>
                <c:pt idx="4">
                  <c:v>4.5658616362500008E-2</c:v>
                </c:pt>
                <c:pt idx="5">
                  <c:v>2.3688764489249999E-2</c:v>
                </c:pt>
                <c:pt idx="6">
                  <c:v>3.7950992205000006E-2</c:v>
                </c:pt>
                <c:pt idx="7">
                  <c:v>2.9525072441250005E-2</c:v>
                </c:pt>
                <c:pt idx="8">
                  <c:v>3.5632833671925004E-2</c:v>
                </c:pt>
                <c:pt idx="9">
                  <c:v>3.1678710050250004E-2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0-4A5E-9AEF-2694C3214732}"/>
            </c:ext>
          </c:extLst>
        </c:ser>
        <c:ser>
          <c:idx val="2"/>
          <c:order val="2"/>
          <c:tx>
            <c:strRef>
              <c:f>潮流!$Y$1</c:f>
              <c:strCache>
                <c:ptCount val="1"/>
                <c:pt idx="0">
                  <c:v>O2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潮流!$Y$2:$Y$11</c:f>
              <c:numCache>
                <c:formatCode>0.000_);[Red]\(0.000\)</c:formatCode>
                <c:ptCount val="10"/>
                <c:pt idx="0">
                  <c:v>3.3019825520000004E-2</c:v>
                </c:pt>
                <c:pt idx="1">
                  <c:v>3.3112530879999998E-2</c:v>
                </c:pt>
                <c:pt idx="2">
                  <c:v>4.0828352399999997E-2</c:v>
                </c:pt>
                <c:pt idx="3">
                  <c:v>4.1612548560000004E-2</c:v>
                </c:pt>
                <c:pt idx="4">
                  <c:v>5.5547228000000004E-2</c:v>
                </c:pt>
                <c:pt idx="5">
                  <c:v>2.8819208880000002E-2</c:v>
                </c:pt>
                <c:pt idx="6">
                  <c:v>4.6170308800000004E-2</c:v>
                </c:pt>
                <c:pt idx="7">
                  <c:v>3.5919527600000001E-2</c:v>
                </c:pt>
                <c:pt idx="8">
                  <c:v>4.3350090168000004E-2</c:v>
                </c:pt>
                <c:pt idx="9">
                  <c:v>3.8539593840000004E-2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C0-4A5E-9AEF-2694C3214732}"/>
            </c:ext>
          </c:extLst>
        </c:ser>
        <c:ser>
          <c:idx val="3"/>
          <c:order val="3"/>
          <c:tx>
            <c:strRef>
              <c:f>潮流!$Z$1</c:f>
              <c:strCache>
                <c:ptCount val="1"/>
                <c:pt idx="0">
                  <c:v>AR1500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潮流!$Z$2:$Z$11</c:f>
              <c:numCache>
                <c:formatCode>0.000_);[Red]\(0.000\)</c:formatCode>
                <c:ptCount val="10"/>
                <c:pt idx="0">
                  <c:v>1.4736120480000003E-2</c:v>
                </c:pt>
                <c:pt idx="1">
                  <c:v>1.4777493119999999E-2</c:v>
                </c:pt>
                <c:pt idx="2">
                  <c:v>1.8220917599999997E-2</c:v>
                </c:pt>
                <c:pt idx="3">
                  <c:v>1.8570889440000002E-2</c:v>
                </c:pt>
                <c:pt idx="4">
                  <c:v>2.4789672000000002E-2</c:v>
                </c:pt>
                <c:pt idx="5">
                  <c:v>1.286146512E-2</c:v>
                </c:pt>
                <c:pt idx="6">
                  <c:v>2.0604931200000003E-2</c:v>
                </c:pt>
                <c:pt idx="7">
                  <c:v>1.6030202400000002E-2</c:v>
                </c:pt>
                <c:pt idx="8">
                  <c:v>1.9346321231999999E-2</c:v>
                </c:pt>
                <c:pt idx="9">
                  <c:v>1.7199488160000002E-2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C0-4A5E-9AEF-2694C3214732}"/>
            </c:ext>
          </c:extLst>
        </c:ser>
        <c:ser>
          <c:idx val="4"/>
          <c:order val="4"/>
          <c:tx>
            <c:strRef>
              <c:f>潮流!$AA$1</c:f>
              <c:strCache>
                <c:ptCount val="1"/>
                <c:pt idx="0">
                  <c:v>SeaGen S 2MW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潮流!$AA$2:$AA$11</c:f>
              <c:numCache>
                <c:formatCode>0.000_);[Red]\(0.000\)</c:formatCode>
                <c:ptCount val="10"/>
                <c:pt idx="0">
                  <c:v>2.7289112000000004E-2</c:v>
                </c:pt>
                <c:pt idx="1">
                  <c:v>2.7365727999999999E-2</c:v>
                </c:pt>
                <c:pt idx="2">
                  <c:v>3.3742439999999992E-2</c:v>
                </c:pt>
                <c:pt idx="3">
                  <c:v>3.4390535999999999E-2</c:v>
                </c:pt>
                <c:pt idx="4">
                  <c:v>4.5906800000000005E-2</c:v>
                </c:pt>
                <c:pt idx="5">
                  <c:v>2.3817528000000001E-2</c:v>
                </c:pt>
                <c:pt idx="6">
                  <c:v>3.8157280000000009E-2</c:v>
                </c:pt>
                <c:pt idx="7">
                  <c:v>2.968556E-2</c:v>
                </c:pt>
                <c:pt idx="8">
                  <c:v>3.5826520799999997E-2</c:v>
                </c:pt>
                <c:pt idx="9">
                  <c:v>3.1850903999999999E-2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C0-4A5E-9AEF-2694C3214732}"/>
            </c:ext>
          </c:extLst>
        </c:ser>
        <c:ser>
          <c:idx val="5"/>
          <c:order val="5"/>
          <c:tx>
            <c:strRef>
              <c:f>潮流!$AB$1</c:f>
              <c:strCache>
                <c:ptCount val="1"/>
                <c:pt idx="0">
                  <c:v>SeaGen 1.2MW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潮流!$AB$2:$AB$11</c:f>
              <c:numCache>
                <c:formatCode>0.000_);[Red]\(0.000\)</c:formatCode>
                <c:ptCount val="10"/>
                <c:pt idx="0">
                  <c:v>2.9108386133333341E-2</c:v>
                </c:pt>
                <c:pt idx="1">
                  <c:v>2.9190109866666671E-2</c:v>
                </c:pt>
                <c:pt idx="2">
                  <c:v>3.5991936000000002E-2</c:v>
                </c:pt>
                <c:pt idx="3">
                  <c:v>3.6683238400000005E-2</c:v>
                </c:pt>
                <c:pt idx="4">
                  <c:v>4.8967253333333342E-2</c:v>
                </c:pt>
                <c:pt idx="5">
                  <c:v>2.5405363200000003E-2</c:v>
                </c:pt>
                <c:pt idx="6">
                  <c:v>4.0701098666666671E-2</c:v>
                </c:pt>
                <c:pt idx="7">
                  <c:v>3.1664597333333343E-2</c:v>
                </c:pt>
                <c:pt idx="8">
                  <c:v>3.8214955520000003E-2</c:v>
                </c:pt>
                <c:pt idx="9">
                  <c:v>3.3974297600000002E-2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C0-4A5E-9AEF-2694C3214732}"/>
            </c:ext>
          </c:extLst>
        </c:ser>
        <c:ser>
          <c:idx val="6"/>
          <c:order val="6"/>
          <c:tx>
            <c:strRef>
              <c:f>潮流!$AC$1</c:f>
              <c:strCache>
                <c:ptCount val="1"/>
                <c:pt idx="0">
                  <c:v>HyTide 110-5.3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潮流!$AC$2:$AC$11</c:f>
              <c:numCache>
                <c:formatCode>0.000_);[Red]\(0.000\)</c:formatCode>
                <c:ptCount val="10"/>
                <c:pt idx="0">
                  <c:v>1.7421617183636367E-2</c:v>
                </c:pt>
                <c:pt idx="1">
                  <c:v>1.7470529534545455E-2</c:v>
                </c:pt>
                <c:pt idx="2">
                  <c:v>2.1541480445454547E-2</c:v>
                </c:pt>
                <c:pt idx="3">
                  <c:v>2.1955230823636363E-2</c:v>
                </c:pt>
                <c:pt idx="4">
                  <c:v>2.9307318454545459E-2</c:v>
                </c:pt>
                <c:pt idx="5">
                  <c:v>1.5205326398181817E-2</c:v>
                </c:pt>
                <c:pt idx="6">
                  <c:v>2.4359954436363639E-2</c:v>
                </c:pt>
                <c:pt idx="7">
                  <c:v>1.8951531372727273E-2</c:v>
                </c:pt>
                <c:pt idx="8">
                  <c:v>2.2871976574363635E-2</c:v>
                </c:pt>
                <c:pt idx="9">
                  <c:v>2.0333906667272729E-2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C0-4A5E-9AEF-2694C3214732}"/>
            </c:ext>
          </c:extLst>
        </c:ser>
        <c:ser>
          <c:idx val="7"/>
          <c:order val="7"/>
          <c:tx>
            <c:strRef>
              <c:f>潮流!$AD$1</c:f>
              <c:strCache>
                <c:ptCount val="1"/>
                <c:pt idx="0">
                  <c:v>HyTide 1000-16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潮流!$AD$2:$AD$11</c:f>
              <c:numCache>
                <c:formatCode>0.000_);[Red]\(0.000\)</c:formatCode>
                <c:ptCount val="10"/>
                <c:pt idx="0">
                  <c:v>1.7465031680000003E-2</c:v>
                </c:pt>
                <c:pt idx="1">
                  <c:v>1.7514065920000002E-2</c:v>
                </c:pt>
                <c:pt idx="2">
                  <c:v>2.1595161599999999E-2</c:v>
                </c:pt>
                <c:pt idx="3">
                  <c:v>2.200994304E-2</c:v>
                </c:pt>
                <c:pt idx="4">
                  <c:v>2.9380352000000005E-2</c:v>
                </c:pt>
                <c:pt idx="5">
                  <c:v>1.5243217920000001E-2</c:v>
                </c:pt>
                <c:pt idx="6">
                  <c:v>2.4420659200000003E-2</c:v>
                </c:pt>
                <c:pt idx="7">
                  <c:v>1.8998758400000003E-2</c:v>
                </c:pt>
                <c:pt idx="8">
                  <c:v>2.2928973312000001E-2</c:v>
                </c:pt>
                <c:pt idx="9">
                  <c:v>2.0384578560000002E-2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C0-4A5E-9AEF-2694C3214732}"/>
            </c:ext>
          </c:extLst>
        </c:ser>
        <c:ser>
          <c:idx val="8"/>
          <c:order val="8"/>
          <c:tx>
            <c:strRef>
              <c:f>潮流!$AE$1</c:f>
              <c:strCache>
                <c:ptCount val="1"/>
                <c:pt idx="0">
                  <c:v>Sabella D10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潮流!$AE$2:$AE$11</c:f>
              <c:numCache>
                <c:formatCode>0.000_);[Red]\(0.000\)</c:formatCode>
                <c:ptCount val="10"/>
                <c:pt idx="0">
                  <c:v>6.8222780000000011E-3</c:v>
                </c:pt>
                <c:pt idx="1">
                  <c:v>6.8414319999999997E-3</c:v>
                </c:pt>
                <c:pt idx="2">
                  <c:v>8.4356099999999979E-3</c:v>
                </c:pt>
                <c:pt idx="3">
                  <c:v>8.5976339999999998E-3</c:v>
                </c:pt>
                <c:pt idx="4">
                  <c:v>1.1476700000000001E-2</c:v>
                </c:pt>
                <c:pt idx="5">
                  <c:v>5.9543820000000003E-3</c:v>
                </c:pt>
                <c:pt idx="6">
                  <c:v>9.5393200000000022E-3</c:v>
                </c:pt>
                <c:pt idx="7">
                  <c:v>7.4213899999999999E-3</c:v>
                </c:pt>
                <c:pt idx="8">
                  <c:v>8.9566301999999993E-3</c:v>
                </c:pt>
                <c:pt idx="9">
                  <c:v>7.9627259999999998E-3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C0-4A5E-9AEF-2694C3214732}"/>
            </c:ext>
          </c:extLst>
        </c:ser>
        <c:ser>
          <c:idx val="9"/>
          <c:order val="9"/>
          <c:tx>
            <c:strRef>
              <c:f>潮流!$AF$1</c:f>
              <c:strCache>
                <c:ptCount val="1"/>
                <c:pt idx="0">
                  <c:v>GE-Alstom1MW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潮流!$AF$2:$AF$11</c:f>
              <c:numCache>
                <c:formatCode>0.000_);[Red]\(0.000\)</c:formatCode>
                <c:ptCount val="10"/>
                <c:pt idx="0">
                  <c:v>2.2104180720000005E-2</c:v>
                </c:pt>
                <c:pt idx="1">
                  <c:v>2.2166239679999998E-2</c:v>
                </c:pt>
                <c:pt idx="2">
                  <c:v>2.7331376399999996E-2</c:v>
                </c:pt>
                <c:pt idx="3">
                  <c:v>2.7856334160000003E-2</c:v>
                </c:pt>
                <c:pt idx="4">
                  <c:v>3.7184508000000005E-2</c:v>
                </c:pt>
                <c:pt idx="5">
                  <c:v>1.9292197680000001E-2</c:v>
                </c:pt>
                <c:pt idx="6">
                  <c:v>3.0907396800000004E-2</c:v>
                </c:pt>
                <c:pt idx="7">
                  <c:v>2.4045303600000002E-2</c:v>
                </c:pt>
                <c:pt idx="8">
                  <c:v>2.9019481848E-2</c:v>
                </c:pt>
                <c:pt idx="9">
                  <c:v>2.5799232240000001E-2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C0-4A5E-9AEF-2694C3214732}"/>
            </c:ext>
          </c:extLst>
        </c:ser>
        <c:ser>
          <c:idx val="10"/>
          <c:order val="10"/>
          <c:tx>
            <c:strRef>
              <c:f>潮流!$AG$1</c:f>
              <c:strCache>
                <c:ptCount val="1"/>
                <c:pt idx="0">
                  <c:v>Nova's M100-D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潮流!$AG$2:$AG$11</c:f>
              <c:numCache>
                <c:formatCode>0.000_);[Red]\(0.000\)</c:formatCode>
                <c:ptCount val="10"/>
                <c:pt idx="0">
                  <c:v>4.9290958550000007E-2</c:v>
                </c:pt>
                <c:pt idx="1">
                  <c:v>4.9429346199999995E-2</c:v>
                </c:pt>
                <c:pt idx="2">
                  <c:v>6.0947282249999998E-2</c:v>
                </c:pt>
                <c:pt idx="3">
                  <c:v>6.2117905649999999E-2</c:v>
                </c:pt>
                <c:pt idx="4">
                  <c:v>8.2919157500000007E-2</c:v>
                </c:pt>
                <c:pt idx="5">
                  <c:v>4.3020409949999998E-2</c:v>
                </c:pt>
                <c:pt idx="6">
                  <c:v>6.8921587000000006E-2</c:v>
                </c:pt>
                <c:pt idx="7">
                  <c:v>5.3619542750000006E-2</c:v>
                </c:pt>
                <c:pt idx="8">
                  <c:v>6.4711653194999996E-2</c:v>
                </c:pt>
                <c:pt idx="9">
                  <c:v>5.7530695350000001E-2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C0-4A5E-9AEF-2694C3214732}"/>
            </c:ext>
          </c:extLst>
        </c:ser>
        <c:ser>
          <c:idx val="11"/>
          <c:order val="11"/>
          <c:tx>
            <c:strRef>
              <c:f>潮流!$AH$1</c:f>
              <c:strCache>
                <c:ptCount val="1"/>
                <c:pt idx="0">
                  <c:v>T-2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潮流!$AH$2:$AH$11</c:f>
              <c:numCache>
                <c:formatCode>0.000_);[Red]\(0.000\)</c:formatCode>
                <c:ptCount val="10"/>
                <c:pt idx="0">
                  <c:v>6.0767790733870985E-3</c:v>
                </c:pt>
                <c:pt idx="1">
                  <c:v>6.0938400354838725E-3</c:v>
                </c:pt>
                <c:pt idx="2">
                  <c:v>7.5138155201612917E-3</c:v>
                </c:pt>
                <c:pt idx="3">
                  <c:v>7.6581344782258075E-3</c:v>
                </c:pt>
                <c:pt idx="4">
                  <c:v>1.0222592862903229E-2</c:v>
                </c:pt>
                <c:pt idx="5">
                  <c:v>5.3037217088709697E-3</c:v>
                </c:pt>
                <c:pt idx="6">
                  <c:v>8.4969185000000023E-3</c:v>
                </c:pt>
                <c:pt idx="7">
                  <c:v>6.610423592741937E-3</c:v>
                </c:pt>
                <c:pt idx="8">
                  <c:v>7.977901657983873E-3</c:v>
                </c:pt>
                <c:pt idx="9">
                  <c:v>7.0926055379032281E-3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EC0-4A5E-9AEF-2694C3214732}"/>
            </c:ext>
          </c:extLst>
        </c:ser>
        <c:ser>
          <c:idx val="12"/>
          <c:order val="12"/>
          <c:tx>
            <c:strRef>
              <c:f>潮流!$AI$1</c:f>
              <c:strCache>
                <c:ptCount val="1"/>
                <c:pt idx="0">
                  <c:v>SR2000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潮流!$A$2:$A$11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潮流!$AI$2:$AI$11</c:f>
              <c:numCache>
                <c:formatCode>0.000_);[Red]\(0.000\)</c:formatCode>
                <c:ptCount val="10"/>
                <c:pt idx="0">
                  <c:v>1.7465031680000003E-2</c:v>
                </c:pt>
                <c:pt idx="1">
                  <c:v>1.7514065920000002E-2</c:v>
                </c:pt>
                <c:pt idx="2">
                  <c:v>2.1595161599999999E-2</c:v>
                </c:pt>
                <c:pt idx="3">
                  <c:v>2.200994304E-2</c:v>
                </c:pt>
                <c:pt idx="4">
                  <c:v>2.9380352000000005E-2</c:v>
                </c:pt>
                <c:pt idx="5">
                  <c:v>1.5243217920000001E-2</c:v>
                </c:pt>
                <c:pt idx="6">
                  <c:v>2.4420659200000003E-2</c:v>
                </c:pt>
                <c:pt idx="7">
                  <c:v>1.8998758400000003E-2</c:v>
                </c:pt>
                <c:pt idx="8">
                  <c:v>2.2928973312000001E-2</c:v>
                </c:pt>
                <c:pt idx="9">
                  <c:v>2.0384578560000002E-2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EC0-4A5E-9AEF-2694C3214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417504"/>
        <c:axId val="1568412704"/>
      </c:barChart>
      <c:catAx>
        <c:axId val="156841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位置编号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568412704"/>
        <c:crosses val="autoZero"/>
        <c:auto val="1"/>
        <c:lblAlgn val="ctr"/>
        <c:lblOffset val="100"/>
        <c:noMultiLvlLbl val="0"/>
      </c:catAx>
      <c:valAx>
        <c:axId val="15684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容量系数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.000_);[Red]\(0.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5684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altLang="zh-CN" sz="1400" b="0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潮流!$B$32</c:f>
              <c:strCache>
                <c:ptCount val="1"/>
                <c:pt idx="0">
                  <c:v>变异系数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潮流!$A$33:$A$42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潮流!$B$33:$B$42</c:f>
              <c:numCache>
                <c:formatCode>0.000_ </c:formatCode>
                <c:ptCount val="10"/>
                <c:pt idx="0">
                  <c:v>1.0149999999999999</c:v>
                </c:pt>
                <c:pt idx="1">
                  <c:v>1.075</c:v>
                </c:pt>
                <c:pt idx="2">
                  <c:v>1.1146</c:v>
                </c:pt>
                <c:pt idx="3">
                  <c:v>1.175</c:v>
                </c:pt>
                <c:pt idx="4">
                  <c:v>1.347</c:v>
                </c:pt>
                <c:pt idx="5">
                  <c:v>1.2410000000000001</c:v>
                </c:pt>
                <c:pt idx="6">
                  <c:v>1.3080000000000001</c:v>
                </c:pt>
                <c:pt idx="7">
                  <c:v>1.2946</c:v>
                </c:pt>
                <c:pt idx="8">
                  <c:v>1.2</c:v>
                </c:pt>
                <c:pt idx="9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6-4041-B360-A775E48785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5765487"/>
        <c:axId val="375767407"/>
      </c:lineChart>
      <c:catAx>
        <c:axId val="375765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位置编号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75767407"/>
        <c:crosses val="autoZero"/>
        <c:auto val="1"/>
        <c:lblAlgn val="ctr"/>
        <c:lblOffset val="100"/>
        <c:noMultiLvlLbl val="0"/>
      </c:catAx>
      <c:valAx>
        <c:axId val="375767407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变异系数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75765487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aseline="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光伏选型最新!$Q$1</c:f>
              <c:strCache>
                <c:ptCount val="1"/>
                <c:pt idx="0">
                  <c:v>SE-S235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光伏选型最新!$Q$2:$Q$11</c:f>
              <c:numCache>
                <c:formatCode>0_ </c:formatCode>
                <c:ptCount val="10"/>
                <c:pt idx="0">
                  <c:v>346.23472575266663</c:v>
                </c:pt>
                <c:pt idx="1">
                  <c:v>347.98862186439999</c:v>
                </c:pt>
                <c:pt idx="2">
                  <c:v>348.86785215333339</c:v>
                </c:pt>
                <c:pt idx="3">
                  <c:v>349.76705198159999</c:v>
                </c:pt>
                <c:pt idx="4">
                  <c:v>349.22216883693341</c:v>
                </c:pt>
                <c:pt idx="5">
                  <c:v>350.6531289697333</c:v>
                </c:pt>
                <c:pt idx="6">
                  <c:v>350.99261113839998</c:v>
                </c:pt>
                <c:pt idx="7">
                  <c:v>352.21988196999996</c:v>
                </c:pt>
                <c:pt idx="8">
                  <c:v>352.63581894640004</c:v>
                </c:pt>
                <c:pt idx="9">
                  <c:v>351.2944364614666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2-4E81-A47E-3DC6298CFDEA}"/>
            </c:ext>
          </c:extLst>
        </c:ser>
        <c:ser>
          <c:idx val="1"/>
          <c:order val="1"/>
          <c:tx>
            <c:strRef>
              <c:f>光伏选型最新!$R$1</c:f>
              <c:strCache>
                <c:ptCount val="1"/>
                <c:pt idx="0">
                  <c:v>SE-M240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光伏选型最新!$R$2:$R$11</c:f>
              <c:numCache>
                <c:formatCode>0_ </c:formatCode>
                <c:ptCount val="10"/>
                <c:pt idx="0">
                  <c:v>348.06870248966669</c:v>
                </c:pt>
                <c:pt idx="1">
                  <c:v>349.83188884420002</c:v>
                </c:pt>
                <c:pt idx="2">
                  <c:v>350.7157763433334</c:v>
                </c:pt>
                <c:pt idx="3">
                  <c:v>351.61973915880003</c:v>
                </c:pt>
                <c:pt idx="4">
                  <c:v>351.07196981313336</c:v>
                </c:pt>
                <c:pt idx="5">
                  <c:v>352.51050962353327</c:v>
                </c:pt>
                <c:pt idx="6">
                  <c:v>352.85179000120002</c:v>
                </c:pt>
                <c:pt idx="7">
                  <c:v>354.08556158499999</c:v>
                </c:pt>
                <c:pt idx="8">
                  <c:v>354.50370174520003</c:v>
                </c:pt>
                <c:pt idx="9">
                  <c:v>353.1552140680667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2-4E81-A47E-3DC6298CFDEA}"/>
            </c:ext>
          </c:extLst>
        </c:ser>
        <c:ser>
          <c:idx val="2"/>
          <c:order val="2"/>
          <c:tx>
            <c:strRef>
              <c:f>光伏选型最新!$S$1</c:f>
              <c:strCache>
                <c:ptCount val="1"/>
                <c:pt idx="0">
                  <c:v>MA100T2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光伏选型最新!$S$2:$S$11</c:f>
              <c:numCache>
                <c:formatCode>0_ </c:formatCode>
                <c:ptCount val="10"/>
                <c:pt idx="0">
                  <c:v>144.19309852499998</c:v>
                </c:pt>
                <c:pt idx="1">
                  <c:v>144.92352703500001</c:v>
                </c:pt>
                <c:pt idx="2">
                  <c:v>145.28969175</c:v>
                </c:pt>
                <c:pt idx="3">
                  <c:v>145.66417299</c:v>
                </c:pt>
                <c:pt idx="4">
                  <c:v>145.43725066499999</c:v>
                </c:pt>
                <c:pt idx="5">
                  <c:v>146.033189085</c:v>
                </c:pt>
                <c:pt idx="6">
                  <c:v>146.17457001</c:v>
                </c:pt>
                <c:pt idx="7">
                  <c:v>146.68567987499998</c:v>
                </c:pt>
                <c:pt idx="8">
                  <c:v>146.85890120999997</c:v>
                </c:pt>
                <c:pt idx="9">
                  <c:v>146.30026834500001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2-4E81-A47E-3DC6298CFDEA}"/>
            </c:ext>
          </c:extLst>
        </c:ser>
        <c:ser>
          <c:idx val="3"/>
          <c:order val="3"/>
          <c:tx>
            <c:strRef>
              <c:f>光伏选型最新!$T$1</c:f>
              <c:strCache>
                <c:ptCount val="1"/>
                <c:pt idx="0">
                  <c:v>JKM550N-7RL3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光伏选型最新!$T$2:$T$11</c:f>
              <c:numCache>
                <c:formatCode>0_ </c:formatCode>
                <c:ptCount val="10"/>
                <c:pt idx="0">
                  <c:v>811.46825768999997</c:v>
                </c:pt>
                <c:pt idx="1">
                  <c:v>815.5788535260001</c:v>
                </c:pt>
                <c:pt idx="2">
                  <c:v>817.63950030000001</c:v>
                </c:pt>
                <c:pt idx="3">
                  <c:v>819.74694956400015</c:v>
                </c:pt>
                <c:pt idx="4">
                  <c:v>818.46991019400002</c:v>
                </c:pt>
                <c:pt idx="5">
                  <c:v>821.82364290599992</c:v>
                </c:pt>
                <c:pt idx="6">
                  <c:v>822.619285236</c:v>
                </c:pt>
                <c:pt idx="7">
                  <c:v>825.4956325500001</c:v>
                </c:pt>
                <c:pt idx="8">
                  <c:v>826.47046155600003</c:v>
                </c:pt>
                <c:pt idx="9">
                  <c:v>823.32667144200013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2-4E81-A47E-3DC6298CFDEA}"/>
            </c:ext>
          </c:extLst>
        </c:ser>
        <c:ser>
          <c:idx val="4"/>
          <c:order val="4"/>
          <c:tx>
            <c:strRef>
              <c:f>光伏选型最新!$U$1</c:f>
              <c:strCache>
                <c:ptCount val="1"/>
                <c:pt idx="0">
                  <c:v>JKM580N-7RL3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光伏选型最新!$U$2:$U$11</c:f>
              <c:numCache>
                <c:formatCode>0_ </c:formatCode>
                <c:ptCount val="10"/>
                <c:pt idx="0">
                  <c:v>826.08691283999985</c:v>
                </c:pt>
                <c:pt idx="1">
                  <c:v>830.2715613360001</c:v>
                </c:pt>
                <c:pt idx="2">
                  <c:v>832.36933079999994</c:v>
                </c:pt>
                <c:pt idx="3">
                  <c:v>834.51474590399994</c:v>
                </c:pt>
                <c:pt idx="4">
                  <c:v>833.21470058400007</c:v>
                </c:pt>
                <c:pt idx="5">
                  <c:v>836.62885101600011</c:v>
                </c:pt>
                <c:pt idx="6">
                  <c:v>837.43882689600002</c:v>
                </c:pt>
                <c:pt idx="7">
                  <c:v>840.36699179999994</c:v>
                </c:pt>
                <c:pt idx="8">
                  <c:v>841.35938241600002</c:v>
                </c:pt>
                <c:pt idx="9">
                  <c:v>838.15895671199996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62-4E81-A47E-3DC6298CFDEA}"/>
            </c:ext>
          </c:extLst>
        </c:ser>
        <c:ser>
          <c:idx val="5"/>
          <c:order val="5"/>
          <c:tx>
            <c:strRef>
              <c:f>光伏选型最新!$V$1</c:f>
              <c:strCache>
                <c:ptCount val="1"/>
                <c:pt idx="0">
                  <c:v>TSM-660DE20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光伏选型最新!$V$2:$V$11</c:f>
              <c:numCache>
                <c:formatCode>0_ </c:formatCode>
                <c:ptCount val="10"/>
                <c:pt idx="0">
                  <c:v>970.44244086666663</c:v>
                </c:pt>
                <c:pt idx="1">
                  <c:v>975.35834067999997</c:v>
                </c:pt>
                <c:pt idx="2">
                  <c:v>977.82268733333331</c:v>
                </c:pt>
                <c:pt idx="3">
                  <c:v>980.34300552000002</c:v>
                </c:pt>
                <c:pt idx="4">
                  <c:v>978.8157822533334</c:v>
                </c:pt>
                <c:pt idx="5">
                  <c:v>982.82654241333341</c:v>
                </c:pt>
                <c:pt idx="6">
                  <c:v>983.77805848000003</c:v>
                </c:pt>
                <c:pt idx="7">
                  <c:v>987.21790899999996</c:v>
                </c:pt>
                <c:pt idx="8">
                  <c:v>988.38371607999989</c:v>
                </c:pt>
                <c:pt idx="9">
                  <c:v>984.62402822666661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62-4E81-A47E-3DC6298CFDEA}"/>
            </c:ext>
          </c:extLst>
        </c:ser>
        <c:ser>
          <c:idx val="6"/>
          <c:order val="6"/>
          <c:tx>
            <c:strRef>
              <c:f>光伏选型最新!$W$1</c:f>
              <c:strCache>
                <c:ptCount val="1"/>
                <c:pt idx="0">
                  <c:v>TSM-NEG21C.20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光伏选型最新!$W$2:$W$11</c:f>
              <c:numCache>
                <c:formatCode>0_ </c:formatCode>
                <c:ptCount val="10"/>
                <c:pt idx="0">
                  <c:v>1016.2180277000001</c:v>
                </c:pt>
                <c:pt idx="1">
                  <c:v>1021.3658095800001</c:v>
                </c:pt>
                <c:pt idx="2">
                  <c:v>1023.9463989999999</c:v>
                </c:pt>
                <c:pt idx="3">
                  <c:v>1026.58560012</c:v>
                </c:pt>
                <c:pt idx="4">
                  <c:v>1024.9863380199999</c:v>
                </c:pt>
                <c:pt idx="5">
                  <c:v>1029.1862849800002</c:v>
                </c:pt>
                <c:pt idx="6">
                  <c:v>1030.1826838800002</c:v>
                </c:pt>
                <c:pt idx="7">
                  <c:v>1033.7847915</c:v>
                </c:pt>
                <c:pt idx="8">
                  <c:v>1035.00558948</c:v>
                </c:pt>
                <c:pt idx="9">
                  <c:v>1031.0685578600001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62-4E81-A47E-3DC6298CFDEA}"/>
            </c:ext>
          </c:extLst>
        </c:ser>
        <c:ser>
          <c:idx val="7"/>
          <c:order val="7"/>
          <c:tx>
            <c:strRef>
              <c:f>光伏选型最新!$X$1</c:f>
              <c:strCache>
                <c:ptCount val="1"/>
                <c:pt idx="0">
                  <c:v>SPR-22-345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光伏选型最新!$X$2:$X$11</c:f>
              <c:numCache>
                <c:formatCode>0_ </c:formatCode>
                <c:ptCount val="10"/>
                <c:pt idx="0">
                  <c:v>511.51708012133327</c:v>
                </c:pt>
                <c:pt idx="1">
                  <c:v>514.10823505519988</c:v>
                </c:pt>
                <c:pt idx="2">
                  <c:v>515.40718422666669</c:v>
                </c:pt>
                <c:pt idx="3">
                  <c:v>516.73563581279996</c:v>
                </c:pt>
                <c:pt idx="4">
                  <c:v>515.93064135546661</c:v>
                </c:pt>
                <c:pt idx="5">
                  <c:v>518.04470009786667</c:v>
                </c:pt>
                <c:pt idx="6">
                  <c:v>518.54624114719991</c:v>
                </c:pt>
                <c:pt idx="7">
                  <c:v>520.35937525999987</c:v>
                </c:pt>
                <c:pt idx="8">
                  <c:v>520.97386841119987</c:v>
                </c:pt>
                <c:pt idx="9">
                  <c:v>518.99214907173325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62-4E81-A47E-3DC6298CFDEA}"/>
            </c:ext>
          </c:extLst>
        </c:ser>
        <c:ser>
          <c:idx val="8"/>
          <c:order val="8"/>
          <c:tx>
            <c:strRef>
              <c:f>光伏选型最新!$Y$1</c:f>
              <c:strCache>
                <c:ptCount val="1"/>
                <c:pt idx="0">
                  <c:v>WT 255M17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光伏选型最新!$Y$2:$Y$11</c:f>
              <c:numCache>
                <c:formatCode>0_ </c:formatCode>
                <c:ptCount val="10"/>
                <c:pt idx="0">
                  <c:v>335.64432224399997</c:v>
                </c:pt>
                <c:pt idx="1">
                  <c:v>337.34457131760001</c:v>
                </c:pt>
                <c:pt idx="2">
                  <c:v>338.19690828000006</c:v>
                </c:pt>
                <c:pt idx="3">
                  <c:v>339.06860396640002</c:v>
                </c:pt>
                <c:pt idx="4">
                  <c:v>338.54038735439997</c:v>
                </c:pt>
                <c:pt idx="5">
                  <c:v>339.92757820559996</c:v>
                </c:pt>
                <c:pt idx="6">
                  <c:v>340.25667651359993</c:v>
                </c:pt>
                <c:pt idx="7">
                  <c:v>341.44640837999998</c:v>
                </c:pt>
                <c:pt idx="8">
                  <c:v>341.8496229456</c:v>
                </c:pt>
                <c:pt idx="9">
                  <c:v>340.54926979919992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62-4E81-A47E-3DC6298CFDEA}"/>
            </c:ext>
          </c:extLst>
        </c:ser>
        <c:ser>
          <c:idx val="9"/>
          <c:order val="9"/>
          <c:tx>
            <c:strRef>
              <c:f>光伏选型最新!$Z$1</c:f>
              <c:strCache>
                <c:ptCount val="1"/>
                <c:pt idx="0">
                  <c:v>HIT-H250E01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光伏选型最新!$A$2:$A$11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光伏选型最新!$Z$2:$Z$11</c:f>
              <c:numCache>
                <c:formatCode>0_ </c:formatCode>
                <c:ptCount val="10"/>
                <c:pt idx="0">
                  <c:v>428.70166038066668</c:v>
                </c:pt>
                <c:pt idx="1">
                  <c:v>430.87330325559998</c:v>
                </c:pt>
                <c:pt idx="2">
                  <c:v>431.96195051333336</c:v>
                </c:pt>
                <c:pt idx="3">
                  <c:v>433.07532369839998</c:v>
                </c:pt>
                <c:pt idx="4">
                  <c:v>432.40065910973334</c:v>
                </c:pt>
                <c:pt idx="5">
                  <c:v>434.17244841693343</c:v>
                </c:pt>
                <c:pt idx="6">
                  <c:v>434.59278918160004</c:v>
                </c:pt>
                <c:pt idx="7">
                  <c:v>436.11237402999996</c:v>
                </c:pt>
                <c:pt idx="8">
                  <c:v>436.62737977360001</c:v>
                </c:pt>
                <c:pt idx="9">
                  <c:v>434.96650391186671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62-4E81-A47E-3DC6298CF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624319"/>
        <c:axId val="489625759"/>
      </c:barChart>
      <c:catAx>
        <c:axId val="48962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Station ID</a:t>
                </a:r>
                <a:endParaRPr lang="zh-CN" altLang="en-US" sz="1400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89625759"/>
        <c:crosses val="autoZero"/>
        <c:auto val="1"/>
        <c:lblAlgn val="ctr"/>
        <c:lblOffset val="100"/>
        <c:noMultiLvlLbl val="0"/>
      </c:catAx>
      <c:valAx>
        <c:axId val="489625759"/>
        <c:scaling>
          <c:orientation val="minMax"/>
          <c:max val="1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AEP (kWh)</a:t>
                </a:r>
                <a:endParaRPr lang="zh-CN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896243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光伏选型最新!$AC$1</c:f>
              <c:strCache>
                <c:ptCount val="1"/>
                <c:pt idx="0">
                  <c:v>SE-S235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光伏选型最新!$AC$2:$AC$11</c:f>
              <c:numCache>
                <c:formatCode>0.000_ </c:formatCode>
                <c:ptCount val="10"/>
                <c:pt idx="0">
                  <c:v>0.16818941307328605</c:v>
                </c:pt>
                <c:pt idx="1">
                  <c:v>0.1690413979716312</c:v>
                </c:pt>
                <c:pt idx="2">
                  <c:v>0.16946849905437353</c:v>
                </c:pt>
                <c:pt idx="3">
                  <c:v>0.16990530068085105</c:v>
                </c:pt>
                <c:pt idx="4">
                  <c:v>0.16964061441607567</c:v>
                </c:pt>
                <c:pt idx="5">
                  <c:v>0.17033572766430258</c:v>
                </c:pt>
                <c:pt idx="6">
                  <c:v>0.1705006369078014</c:v>
                </c:pt>
                <c:pt idx="7">
                  <c:v>0.17109680460992907</c:v>
                </c:pt>
                <c:pt idx="8">
                  <c:v>0.17129885307801418</c:v>
                </c:pt>
                <c:pt idx="9">
                  <c:v>0.1706472536973995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6-4A7C-874A-8C8FE8DE325D}"/>
            </c:ext>
          </c:extLst>
        </c:ser>
        <c:ser>
          <c:idx val="1"/>
          <c:order val="1"/>
          <c:tx>
            <c:strRef>
              <c:f>光伏选型最新!$AD$1</c:f>
              <c:strCache>
                <c:ptCount val="1"/>
                <c:pt idx="0">
                  <c:v>SE-M240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光伏选型最新!$AD$2:$AD$11</c:f>
              <c:numCache>
                <c:formatCode>0.000_ </c:formatCode>
                <c:ptCount val="10"/>
                <c:pt idx="0">
                  <c:v>0.16555779228009262</c:v>
                </c:pt>
                <c:pt idx="1">
                  <c:v>0.16639644636805556</c:v>
                </c:pt>
                <c:pt idx="2">
                  <c:v>0.16681686469907411</c:v>
                </c:pt>
                <c:pt idx="3">
                  <c:v>0.16724683179166669</c:v>
                </c:pt>
                <c:pt idx="4">
                  <c:v>0.16698628701157409</c:v>
                </c:pt>
                <c:pt idx="5">
                  <c:v>0.16767052398379625</c:v>
                </c:pt>
                <c:pt idx="6">
                  <c:v>0.16783285293055555</c:v>
                </c:pt>
                <c:pt idx="7">
                  <c:v>0.16841969253472222</c:v>
                </c:pt>
                <c:pt idx="8">
                  <c:v>0.16861857959722223</c:v>
                </c:pt>
                <c:pt idx="9">
                  <c:v>0.16797717564120371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6-4A7C-874A-8C8FE8DE325D}"/>
            </c:ext>
          </c:extLst>
        </c:ser>
        <c:ser>
          <c:idx val="2"/>
          <c:order val="2"/>
          <c:tx>
            <c:strRef>
              <c:f>光伏选型最新!$AE$1</c:f>
              <c:strCache>
                <c:ptCount val="1"/>
                <c:pt idx="0">
                  <c:v>MA100T2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光伏选型最新!$AE$2:$AE$11</c:f>
              <c:numCache>
                <c:formatCode>0.000_ </c:formatCode>
                <c:ptCount val="10"/>
                <c:pt idx="0">
                  <c:v>0.16460399374999998</c:v>
                </c:pt>
                <c:pt idx="1">
                  <c:v>0.16543781625000001</c:v>
                </c:pt>
                <c:pt idx="2">
                  <c:v>0.1658558125</c:v>
                </c:pt>
                <c:pt idx="3">
                  <c:v>0.16628330249999998</c:v>
                </c:pt>
                <c:pt idx="4">
                  <c:v>0.16602425875000001</c:v>
                </c:pt>
                <c:pt idx="5">
                  <c:v>0.16670455374999998</c:v>
                </c:pt>
                <c:pt idx="6">
                  <c:v>0.1668659475</c:v>
                </c:pt>
                <c:pt idx="7">
                  <c:v>0.16744940624999999</c:v>
                </c:pt>
                <c:pt idx="8">
                  <c:v>0.16764714749999998</c:v>
                </c:pt>
                <c:pt idx="9">
                  <c:v>0.16700943875000004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6-4A7C-874A-8C8FE8DE325D}"/>
            </c:ext>
          </c:extLst>
        </c:ser>
        <c:ser>
          <c:idx val="3"/>
          <c:order val="3"/>
          <c:tx>
            <c:strRef>
              <c:f>光伏选型最新!$AF$1</c:f>
              <c:strCache>
                <c:ptCount val="1"/>
                <c:pt idx="0">
                  <c:v>JKM550N-7RL3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光伏选型最新!$AF$2:$AF$11</c:f>
              <c:numCache>
                <c:formatCode>0.000_ </c:formatCode>
                <c:ptCount val="10"/>
                <c:pt idx="0">
                  <c:v>0.16842429590909092</c:v>
                </c:pt>
                <c:pt idx="1">
                  <c:v>0.16927747063636364</c:v>
                </c:pt>
                <c:pt idx="2">
                  <c:v>0.16970516818181816</c:v>
                </c:pt>
                <c:pt idx="3">
                  <c:v>0.17014257981818184</c:v>
                </c:pt>
                <c:pt idx="4">
                  <c:v>0.16987752390909092</c:v>
                </c:pt>
                <c:pt idx="5">
                  <c:v>0.1705736079090909</c:v>
                </c:pt>
                <c:pt idx="6">
                  <c:v>0.17073874745454545</c:v>
                </c:pt>
                <c:pt idx="7">
                  <c:v>0.17133574772727275</c:v>
                </c:pt>
                <c:pt idx="8">
                  <c:v>0.17153807836363635</c:v>
                </c:pt>
                <c:pt idx="9">
                  <c:v>0.17088556900000001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46-4A7C-874A-8C8FE8DE325D}"/>
            </c:ext>
          </c:extLst>
        </c:ser>
        <c:ser>
          <c:idx val="4"/>
          <c:order val="4"/>
          <c:tx>
            <c:strRef>
              <c:f>光伏选型最新!$AG$1</c:f>
              <c:strCache>
                <c:ptCount val="1"/>
                <c:pt idx="0">
                  <c:v>JKM580N-7RL3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光伏选型最新!$AG$2:$AG$11</c:f>
              <c:numCache>
                <c:formatCode>0.000_ </c:formatCode>
                <c:ptCount val="10"/>
                <c:pt idx="0">
                  <c:v>0.1625899293103448</c:v>
                </c:pt>
                <c:pt idx="1">
                  <c:v>0.16341354931034485</c:v>
                </c:pt>
                <c:pt idx="2">
                  <c:v>0.16382643103448274</c:v>
                </c:pt>
                <c:pt idx="3">
                  <c:v>0.16424869034482756</c:v>
                </c:pt>
                <c:pt idx="4">
                  <c:v>0.16399281620689657</c:v>
                </c:pt>
                <c:pt idx="5">
                  <c:v>0.16466478724137934</c:v>
                </c:pt>
                <c:pt idx="6">
                  <c:v>0.16482420620689656</c:v>
                </c:pt>
                <c:pt idx="7">
                  <c:v>0.16540052586206896</c:v>
                </c:pt>
                <c:pt idx="8">
                  <c:v>0.16559584758620688</c:v>
                </c:pt>
                <c:pt idx="9">
                  <c:v>0.16496594172413792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46-4A7C-874A-8C8FE8DE325D}"/>
            </c:ext>
          </c:extLst>
        </c:ser>
        <c:ser>
          <c:idx val="5"/>
          <c:order val="5"/>
          <c:tx>
            <c:strRef>
              <c:f>光伏选型最新!$AH$1</c:f>
              <c:strCache>
                <c:ptCount val="1"/>
                <c:pt idx="0">
                  <c:v>TSM-660DE20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光伏选型最新!$AH$2:$AH$11</c:f>
              <c:numCache>
                <c:formatCode>0.000_ </c:formatCode>
                <c:ptCount val="10"/>
                <c:pt idx="0">
                  <c:v>0.16785015235690234</c:v>
                </c:pt>
                <c:pt idx="1">
                  <c:v>0.16870041868686869</c:v>
                </c:pt>
                <c:pt idx="2">
                  <c:v>0.16912665824915823</c:v>
                </c:pt>
                <c:pt idx="3">
                  <c:v>0.16956257878787881</c:v>
                </c:pt>
                <c:pt idx="4">
                  <c:v>0.16929842643097642</c:v>
                </c:pt>
                <c:pt idx="5">
                  <c:v>0.16999213754208756</c:v>
                </c:pt>
                <c:pt idx="6">
                  <c:v>0.17015671414141414</c:v>
                </c:pt>
                <c:pt idx="7">
                  <c:v>0.17075167929292928</c:v>
                </c:pt>
                <c:pt idx="8">
                  <c:v>0.1709533202020202</c:v>
                </c:pt>
                <c:pt idx="9">
                  <c:v>0.17030303518518516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46-4A7C-874A-8C8FE8DE325D}"/>
            </c:ext>
          </c:extLst>
        </c:ser>
        <c:ser>
          <c:idx val="6"/>
          <c:order val="6"/>
          <c:tx>
            <c:strRef>
              <c:f>光伏选型最新!$AI$1</c:f>
              <c:strCache>
                <c:ptCount val="1"/>
                <c:pt idx="0">
                  <c:v>TSM-NEG21C.20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光伏选型最新!$AI$2:$AI$11</c:f>
              <c:numCache>
                <c:formatCode>0.000_ </c:formatCode>
                <c:ptCount val="10"/>
                <c:pt idx="0">
                  <c:v>0.16812554227053142</c:v>
                </c:pt>
                <c:pt idx="1">
                  <c:v>0.16897720362318841</c:v>
                </c:pt>
                <c:pt idx="2">
                  <c:v>0.1694041425120773</c:v>
                </c:pt>
                <c:pt idx="3">
                  <c:v>0.16984077826086955</c:v>
                </c:pt>
                <c:pt idx="4">
                  <c:v>0.16957619251207728</c:v>
                </c:pt>
                <c:pt idx="5">
                  <c:v>0.17027104178743965</c:v>
                </c:pt>
                <c:pt idx="6">
                  <c:v>0.17043588840579715</c:v>
                </c:pt>
                <c:pt idx="7">
                  <c:v>0.17103182971014491</c:v>
                </c:pt>
                <c:pt idx="8">
                  <c:v>0.17123380144927536</c:v>
                </c:pt>
                <c:pt idx="9">
                  <c:v>0.17058244951690821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46-4A7C-874A-8C8FE8DE325D}"/>
            </c:ext>
          </c:extLst>
        </c:ser>
        <c:ser>
          <c:idx val="7"/>
          <c:order val="7"/>
          <c:tx>
            <c:strRef>
              <c:f>光伏选型最新!$AJ$1</c:f>
              <c:strCache>
                <c:ptCount val="1"/>
                <c:pt idx="0">
                  <c:v>SPR-22-345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光伏选型最新!$AJ$2:$AJ$11</c:f>
              <c:numCache>
                <c:formatCode>0.000_ </c:formatCode>
                <c:ptCount val="10"/>
                <c:pt idx="0">
                  <c:v>0.16925321954911429</c:v>
                </c:pt>
                <c:pt idx="1">
                  <c:v>0.17011059329468597</c:v>
                </c:pt>
                <c:pt idx="2">
                  <c:v>0.17054039581320452</c:v>
                </c:pt>
                <c:pt idx="3">
                  <c:v>0.17097996023188405</c:v>
                </c:pt>
                <c:pt idx="4">
                  <c:v>0.1707135998132045</c:v>
                </c:pt>
                <c:pt idx="5">
                  <c:v>0.17141310968760062</c:v>
                </c:pt>
                <c:pt idx="6">
                  <c:v>0.17157906199033812</c:v>
                </c:pt>
                <c:pt idx="7">
                  <c:v>0.17217900048309176</c:v>
                </c:pt>
                <c:pt idx="8">
                  <c:v>0.17238232691787436</c:v>
                </c:pt>
                <c:pt idx="9">
                  <c:v>0.17172660613848628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46-4A7C-874A-8C8FE8DE325D}"/>
            </c:ext>
          </c:extLst>
        </c:ser>
        <c:ser>
          <c:idx val="8"/>
          <c:order val="8"/>
          <c:tx>
            <c:strRef>
              <c:f>光伏选型最新!$AK$1</c:f>
              <c:strCache>
                <c:ptCount val="1"/>
                <c:pt idx="0">
                  <c:v>WT 255M17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光伏选型最新!$AK$2:$AK$11</c:f>
              <c:numCache>
                <c:formatCode>0.000_ </c:formatCode>
                <c:ptCount val="10"/>
                <c:pt idx="0">
                  <c:v>0.15025710549019608</c:v>
                </c:pt>
                <c:pt idx="1">
                  <c:v>0.15101825200000002</c:v>
                </c:pt>
                <c:pt idx="2">
                  <c:v>0.15139981568627453</c:v>
                </c:pt>
                <c:pt idx="3">
                  <c:v>0.15179004564705884</c:v>
                </c:pt>
                <c:pt idx="4">
                  <c:v>0.15155358015686274</c:v>
                </c:pt>
                <c:pt idx="5">
                  <c:v>0.15217458062745098</c:v>
                </c:pt>
                <c:pt idx="6">
                  <c:v>0.1523219072941176</c:v>
                </c:pt>
                <c:pt idx="7">
                  <c:v>0.15285451176470588</c:v>
                </c:pt>
                <c:pt idx="8">
                  <c:v>0.15303501788235294</c:v>
                </c:pt>
                <c:pt idx="9">
                  <c:v>0.15245289184313723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46-4A7C-874A-8C8FE8DE325D}"/>
            </c:ext>
          </c:extLst>
        </c:ser>
        <c:ser>
          <c:idx val="9"/>
          <c:order val="9"/>
          <c:tx>
            <c:strRef>
              <c:f>光伏选型最新!$AL$1</c:f>
              <c:strCache>
                <c:ptCount val="1"/>
                <c:pt idx="0">
                  <c:v>HIT-H250E01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光伏选型最新!$AB$2:$AB$11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光伏选型最新!$AL$2:$AL$11</c:f>
              <c:numCache>
                <c:formatCode>0.000_ </c:formatCode>
                <c:ptCount val="10"/>
                <c:pt idx="0">
                  <c:v>0.19575418282222221</c:v>
                </c:pt>
                <c:pt idx="1">
                  <c:v>0.19674580057333332</c:v>
                </c:pt>
                <c:pt idx="2">
                  <c:v>0.19724289977777781</c:v>
                </c:pt>
                <c:pt idx="3">
                  <c:v>0.19775128936</c:v>
                </c:pt>
                <c:pt idx="4">
                  <c:v>0.19744322333777781</c:v>
                </c:pt>
                <c:pt idx="5">
                  <c:v>0.19825225955111114</c:v>
                </c:pt>
                <c:pt idx="6">
                  <c:v>0.19844419597333335</c:v>
                </c:pt>
                <c:pt idx="7">
                  <c:v>0.19913807033333331</c:v>
                </c:pt>
                <c:pt idx="8">
                  <c:v>0.19937323277333335</c:v>
                </c:pt>
                <c:pt idx="9">
                  <c:v>0.1986148419688889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46-4A7C-874A-8C8FE8DE3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157968"/>
        <c:axId val="1985162768"/>
      </c:barChart>
      <c:catAx>
        <c:axId val="198515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Station ID</a:t>
                </a:r>
                <a:endParaRPr lang="zh-CN" altLang="en-US" sz="1400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85162768"/>
        <c:crosses val="autoZero"/>
        <c:auto val="1"/>
        <c:lblAlgn val="ctr"/>
        <c:lblOffset val="100"/>
        <c:noMultiLvlLbl val="0"/>
      </c:catAx>
      <c:valAx>
        <c:axId val="1985162768"/>
        <c:scaling>
          <c:orientation val="minMax"/>
          <c:max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CF</a:t>
                </a:r>
                <a:endParaRPr lang="zh-CN" alt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0_ 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8515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光伏选型最新!$AQ$2:$AQ$11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光伏选型最新!$AR$2:$AR$11</c:f>
              <c:numCache>
                <c:formatCode>General</c:formatCode>
                <c:ptCount val="10"/>
                <c:pt idx="0">
                  <c:v>2.6509319259805002</c:v>
                </c:pt>
                <c:pt idx="1">
                  <c:v>2.2638755386013578</c:v>
                </c:pt>
                <c:pt idx="2">
                  <c:v>1.7703912421451224</c:v>
                </c:pt>
                <c:pt idx="3">
                  <c:v>1.3115483508268797</c:v>
                </c:pt>
                <c:pt idx="4">
                  <c:v>1.4186023181603158</c:v>
                </c:pt>
                <c:pt idx="5">
                  <c:v>1.4892376777223244</c:v>
                </c:pt>
                <c:pt idx="6">
                  <c:v>1.9753637423129535</c:v>
                </c:pt>
                <c:pt idx="7">
                  <c:v>1.2279910050361393</c:v>
                </c:pt>
                <c:pt idx="8">
                  <c:v>1.4327236943590802</c:v>
                </c:pt>
                <c:pt idx="9">
                  <c:v>1.1798420223654882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C-4610-AB5E-B342B39F2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4046815"/>
        <c:axId val="1454047775"/>
      </c:barChart>
      <c:catAx>
        <c:axId val="145404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Station ID</a:t>
                </a:r>
                <a:endParaRPr lang="zh-CN" alt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54047775"/>
        <c:crosses val="autoZero"/>
        <c:auto val="1"/>
        <c:lblAlgn val="ctr"/>
        <c:lblOffset val="100"/>
        <c:noMultiLvlLbl val="0"/>
      </c:catAx>
      <c:valAx>
        <c:axId val="1454047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SI</a:t>
                </a:r>
                <a:endParaRPr lang="zh-CN" altLang="en-US" sz="1400" baseline="0">
                  <a:solidFill>
                    <a:schemeClr val="tx1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540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光伏选型最新!$AT$2:$AT$11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光伏选型最新!$AU$2:$AU$11</c:f>
              <c:numCache>
                <c:formatCode>General</c:formatCode>
                <c:ptCount val="10"/>
                <c:pt idx="0">
                  <c:v>5.4791360099627706</c:v>
                </c:pt>
                <c:pt idx="1">
                  <c:v>2.8933276251421343</c:v>
                </c:pt>
                <c:pt idx="2">
                  <c:v>2.0300989552785649</c:v>
                </c:pt>
                <c:pt idx="3">
                  <c:v>1.3115483508268797</c:v>
                </c:pt>
                <c:pt idx="4">
                  <c:v>2.0664255869626702</c:v>
                </c:pt>
                <c:pt idx="5">
                  <c:v>1.5290416629993622</c:v>
                </c:pt>
                <c:pt idx="6">
                  <c:v>2.3755604217708104</c:v>
                </c:pt>
                <c:pt idx="7">
                  <c:v>1.2903742917319965</c:v>
                </c:pt>
                <c:pt idx="8">
                  <c:v>2.1226413301000369</c:v>
                </c:pt>
                <c:pt idx="9">
                  <c:v>3.1226330690362181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5-41B8-BC24-45EB2C7D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263087"/>
        <c:axId val="1449265967"/>
      </c:barChart>
      <c:catAx>
        <c:axId val="1449263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Station</a:t>
                </a: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ID</a:t>
                </a:r>
                <a:endParaRPr lang="zh-CN" alt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49265967"/>
        <c:crosses val="autoZero"/>
        <c:auto val="1"/>
        <c:lblAlgn val="ctr"/>
        <c:lblOffset val="100"/>
        <c:noMultiLvlLbl val="0"/>
      </c:catAx>
      <c:valAx>
        <c:axId val="1449265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SI_</a:t>
                </a:r>
                <a:r>
                  <a:rPr lang="en-US" altLang="zh-CN" sz="14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OD</a:t>
                </a:r>
                <a:endParaRPr lang="zh-CN" altLang="en-US" sz="1400" baseline="-25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4926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光伏选型最新!$AW$2:$AW$11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光伏选型最新!$AX$2:$AX$11</c:f>
              <c:numCache>
                <c:formatCode>General</c:formatCode>
                <c:ptCount val="10"/>
                <c:pt idx="0">
                  <c:v>3.5673034559490682</c:v>
                </c:pt>
                <c:pt idx="1">
                  <c:v>2.7868447338634783</c:v>
                </c:pt>
                <c:pt idx="2">
                  <c:v>2.6029418753304747</c:v>
                </c:pt>
                <c:pt idx="3">
                  <c:v>1.6667159222484673</c:v>
                </c:pt>
                <c:pt idx="4">
                  <c:v>2.4776462920236249</c:v>
                </c:pt>
                <c:pt idx="5">
                  <c:v>1.9117729931360461</c:v>
                </c:pt>
                <c:pt idx="6">
                  <c:v>2.5577333985240074</c:v>
                </c:pt>
                <c:pt idx="7">
                  <c:v>1.2279910050361393</c:v>
                </c:pt>
                <c:pt idx="8">
                  <c:v>2.3403756260715767</c:v>
                </c:pt>
                <c:pt idx="9">
                  <c:v>3.1436235218138231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D-4101-BF33-9B9199E85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289599"/>
        <c:axId val="727291519"/>
      </c:barChart>
      <c:catAx>
        <c:axId val="727289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Station</a:t>
                </a: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ID</a:t>
                </a:r>
                <a:endParaRPr lang="zh-CN" alt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7291519"/>
        <c:crosses val="autoZero"/>
        <c:auto val="1"/>
        <c:lblAlgn val="ctr"/>
        <c:lblOffset val="100"/>
        <c:noMultiLvlLbl val="0"/>
      </c:catAx>
      <c:valAx>
        <c:axId val="727291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SI_</a:t>
                </a:r>
                <a:r>
                  <a:rPr lang="en-US" altLang="zh-CN" sz="14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WD</a:t>
                </a:r>
                <a:endParaRPr lang="zh-CN" altLang="en-US" sz="1400" baseline="-25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728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光伏选型最新!$AZ$2:$AZ$11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光伏选型最新!$BA$2:$BA$11</c:f>
              <c:numCache>
                <c:formatCode>General</c:formatCode>
                <c:ptCount val="10"/>
                <c:pt idx="0">
                  <c:v>7.3731583343943452</c:v>
                </c:pt>
                <c:pt idx="1">
                  <c:v>3.5617041299234287</c:v>
                </c:pt>
                <c:pt idx="2">
                  <c:v>2.9847806834812989</c:v>
                </c:pt>
                <c:pt idx="3">
                  <c:v>1.6667159222484673</c:v>
                </c:pt>
                <c:pt idx="4">
                  <c:v>3.6090958175793761</c:v>
                </c:pt>
                <c:pt idx="5">
                  <c:v>1.9628704003599953</c:v>
                </c:pt>
                <c:pt idx="6">
                  <c:v>3.0759146281892029</c:v>
                </c:pt>
                <c:pt idx="7">
                  <c:v>1.2903742917319965</c:v>
                </c:pt>
                <c:pt idx="8">
                  <c:v>3.4673664234195427</c:v>
                </c:pt>
                <c:pt idx="9">
                  <c:v>8.3200823328320563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5-4A4F-9AEC-5BCDE8EB2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946527"/>
        <c:axId val="1633937407"/>
      </c:barChart>
      <c:catAx>
        <c:axId val="163394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Station ID</a:t>
                </a:r>
                <a:endParaRPr lang="zh-CN" alt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33937407"/>
        <c:crosses val="autoZero"/>
        <c:auto val="1"/>
        <c:lblAlgn val="ctr"/>
        <c:lblOffset val="100"/>
        <c:noMultiLvlLbl val="0"/>
      </c:catAx>
      <c:valAx>
        <c:axId val="1633937407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SI_</a:t>
                </a:r>
                <a:r>
                  <a:rPr lang="en-US" altLang="zh-CN" sz="14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OD,WD</a:t>
                </a:r>
                <a:endParaRPr lang="zh-CN" altLang="en-US" sz="1400" baseline="-25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3394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光伏选型最新!$BD$1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光伏选型最新!$BC$2:$BC$11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光伏选型最新!$BD$2:$BD$11</c:f>
              <c:numCache>
                <c:formatCode>General</c:formatCode>
                <c:ptCount val="10"/>
                <c:pt idx="0">
                  <c:v>2.6509319259805002</c:v>
                </c:pt>
                <c:pt idx="1">
                  <c:v>2.2638755386013578</c:v>
                </c:pt>
                <c:pt idx="2">
                  <c:v>1.7703912421451224</c:v>
                </c:pt>
                <c:pt idx="3">
                  <c:v>1.3115483508268797</c:v>
                </c:pt>
                <c:pt idx="4">
                  <c:v>1.4186023181603158</c:v>
                </c:pt>
                <c:pt idx="5">
                  <c:v>1.4892376777223244</c:v>
                </c:pt>
                <c:pt idx="6">
                  <c:v>1.9753637423129535</c:v>
                </c:pt>
                <c:pt idx="7">
                  <c:v>1.2279910050361393</c:v>
                </c:pt>
                <c:pt idx="8">
                  <c:v>1.4327236943590802</c:v>
                </c:pt>
                <c:pt idx="9">
                  <c:v>1.1798420223654882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C-4781-93A1-8128B3EBD4EB}"/>
            </c:ext>
          </c:extLst>
        </c:ser>
        <c:ser>
          <c:idx val="1"/>
          <c:order val="1"/>
          <c:tx>
            <c:strRef>
              <c:f>光伏选型最新!$BE$1</c:f>
              <c:strCache>
                <c:ptCount val="1"/>
                <c:pt idx="0">
                  <c:v>SI_OD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光伏选型最新!$BC$2:$BC$11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光伏选型最新!$BE$2:$BE$11</c:f>
              <c:numCache>
                <c:formatCode>General</c:formatCode>
                <c:ptCount val="10"/>
                <c:pt idx="0">
                  <c:v>5.4791360099627706</c:v>
                </c:pt>
                <c:pt idx="1">
                  <c:v>2.8933276251421343</c:v>
                </c:pt>
                <c:pt idx="2">
                  <c:v>2.0300989552785649</c:v>
                </c:pt>
                <c:pt idx="3">
                  <c:v>1.3115483508268797</c:v>
                </c:pt>
                <c:pt idx="4">
                  <c:v>2.0664255869626702</c:v>
                </c:pt>
                <c:pt idx="5">
                  <c:v>1.5290416629993622</c:v>
                </c:pt>
                <c:pt idx="6">
                  <c:v>2.3755604217708104</c:v>
                </c:pt>
                <c:pt idx="7">
                  <c:v>1.2903742917319965</c:v>
                </c:pt>
                <c:pt idx="8">
                  <c:v>2.1226413301000369</c:v>
                </c:pt>
                <c:pt idx="9">
                  <c:v>3.1226330690362181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C-4781-93A1-8128B3EBD4EB}"/>
            </c:ext>
          </c:extLst>
        </c:ser>
        <c:ser>
          <c:idx val="2"/>
          <c:order val="2"/>
          <c:tx>
            <c:strRef>
              <c:f>光伏选型最新!$BF$1</c:f>
              <c:strCache>
                <c:ptCount val="1"/>
                <c:pt idx="0">
                  <c:v>SI_WD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光伏选型最新!$BC$2:$BC$11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光伏选型最新!$BF$2:$BF$11</c:f>
              <c:numCache>
                <c:formatCode>General</c:formatCode>
                <c:ptCount val="10"/>
                <c:pt idx="0">
                  <c:v>3.5673034559490682</c:v>
                </c:pt>
                <c:pt idx="1">
                  <c:v>2.7868447338634783</c:v>
                </c:pt>
                <c:pt idx="2">
                  <c:v>2.6029418753304747</c:v>
                </c:pt>
                <c:pt idx="3">
                  <c:v>1.6667159222484673</c:v>
                </c:pt>
                <c:pt idx="4">
                  <c:v>2.4776462920236249</c:v>
                </c:pt>
                <c:pt idx="5">
                  <c:v>1.9117729931360461</c:v>
                </c:pt>
                <c:pt idx="6">
                  <c:v>2.5577333985240074</c:v>
                </c:pt>
                <c:pt idx="7">
                  <c:v>1.2279910050361393</c:v>
                </c:pt>
                <c:pt idx="8">
                  <c:v>2.3403756260715767</c:v>
                </c:pt>
                <c:pt idx="9">
                  <c:v>3.1436235218138231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C-4781-93A1-8128B3EBD4EB}"/>
            </c:ext>
          </c:extLst>
        </c:ser>
        <c:ser>
          <c:idx val="3"/>
          <c:order val="3"/>
          <c:tx>
            <c:strRef>
              <c:f>光伏选型最新!$BG$1</c:f>
              <c:strCache>
                <c:ptCount val="1"/>
                <c:pt idx="0">
                  <c:v>SI_OD+WD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光伏选型最新!$BC$2:$BC$11</c:f>
              <c:strCache>
                <c:ptCount val="10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</c:strCache>
            </c:strRef>
          </c:cat>
          <c:val>
            <c:numRef>
              <c:f>光伏选型最新!$BG$2:$BG$11</c:f>
              <c:numCache>
                <c:formatCode>General</c:formatCode>
                <c:ptCount val="10"/>
                <c:pt idx="0">
                  <c:v>7.3731583343943452</c:v>
                </c:pt>
                <c:pt idx="1">
                  <c:v>3.5617041299234287</c:v>
                </c:pt>
                <c:pt idx="2">
                  <c:v>2.9847806834812989</c:v>
                </c:pt>
                <c:pt idx="3">
                  <c:v>1.6667159222484673</c:v>
                </c:pt>
                <c:pt idx="4">
                  <c:v>3.6090958175793761</c:v>
                </c:pt>
                <c:pt idx="5">
                  <c:v>1.9628704003599953</c:v>
                </c:pt>
                <c:pt idx="6">
                  <c:v>3.0759146281892029</c:v>
                </c:pt>
                <c:pt idx="7">
                  <c:v>1.2903742917319965</c:v>
                </c:pt>
                <c:pt idx="8">
                  <c:v>3.4673664234195427</c:v>
                </c:pt>
                <c:pt idx="9">
                  <c:v>8.3200823328320563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6C-4781-93A1-8128B3EBD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612112"/>
        <c:axId val="1869614192"/>
      </c:barChart>
      <c:catAx>
        <c:axId val="186961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Site</a:t>
                </a:r>
                <a:r>
                  <a:rPr lang="en-US" altLang="zh-CN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ID</a:t>
                </a:r>
                <a:endParaRPr lang="zh-CN" alt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69614192"/>
        <c:crosses val="autoZero"/>
        <c:auto val="1"/>
        <c:lblAlgn val="ctr"/>
        <c:lblOffset val="100"/>
        <c:noMultiLvlLbl val="0"/>
      </c:catAx>
      <c:valAx>
        <c:axId val="1869614192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Scores</a:t>
                </a:r>
                <a:endParaRPr lang="zh-CN" alt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696121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327025</xdr:colOff>
      <xdr:row>12</xdr:row>
      <xdr:rowOff>82550</xdr:rowOff>
    </xdr:from>
    <xdr:to>
      <xdr:col>8</xdr:col>
      <xdr:colOff>659275</xdr:colOff>
      <xdr:row>30</xdr:row>
      <xdr:rowOff>167825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FEDFAA8-1374-FD34-E578-258E1040A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581991</xdr:colOff>
      <xdr:row>16</xdr:row>
      <xdr:rowOff>132108</xdr:rowOff>
    </xdr:from>
    <xdr:to>
      <xdr:col>34</xdr:col>
      <xdr:colOff>104616</xdr:colOff>
      <xdr:row>35</xdr:row>
      <xdr:rowOff>45933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036EDF6-C844-B48E-1C86-3BB689BDA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81</xdr:col>
      <xdr:colOff>679</xdr:colOff>
      <xdr:row>20</xdr:row>
      <xdr:rowOff>57150</xdr:rowOff>
    </xdr:from>
    <xdr:to>
      <xdr:col>94</xdr:col>
      <xdr:colOff>456754</xdr:colOff>
      <xdr:row>39</xdr:row>
      <xdr:rowOff>66225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80</xdr:col>
      <xdr:colOff>1058115</xdr:colOff>
      <xdr:row>39</xdr:row>
      <xdr:rowOff>172009</xdr:rowOff>
    </xdr:from>
    <xdr:to>
      <xdr:col>94</xdr:col>
      <xdr:colOff>447390</xdr:colOff>
      <xdr:row>59</xdr:row>
      <xdr:rowOff>152509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653674</xdr:colOff>
      <xdr:row>8</xdr:row>
      <xdr:rowOff>374115</xdr:rowOff>
    </xdr:from>
    <xdr:to>
      <xdr:col>36</xdr:col>
      <xdr:colOff>266129</xdr:colOff>
      <xdr:row>29</xdr:row>
      <xdr:rowOff>59115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14C02CB-D3F9-7F08-8FA9-85DB44C86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854074</xdr:colOff>
      <xdr:row>21</xdr:row>
      <xdr:rowOff>19049</xdr:rowOff>
    </xdr:from>
    <xdr:to>
      <xdr:col>14</xdr:col>
      <xdr:colOff>1057943</xdr:colOff>
      <xdr:row>39</xdr:row>
      <xdr:rowOff>107223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E12A81-23E5-45FC-979D-5861A44A7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860425</xdr:colOff>
      <xdr:row>41</xdr:row>
      <xdr:rowOff>135617</xdr:rowOff>
    </xdr:from>
    <xdr:to>
      <xdr:col>14</xdr:col>
      <xdr:colOff>1064294</xdr:colOff>
      <xdr:row>61</xdr:row>
      <xdr:rowOff>91269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416D880-E176-4268-8052-17604B7482E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109762</xdr:colOff>
      <xdr:row>21</xdr:row>
      <xdr:rowOff>62592</xdr:rowOff>
    </xdr:from>
    <xdr:to>
      <xdr:col>26</xdr:col>
      <xdr:colOff>593291</xdr:colOff>
      <xdr:row>40</xdr:row>
      <xdr:rowOff>16945</xdr:rowOff>
    </xdr:to>
    <xdr:graphicFrame macro="">
      <xdr:nvGraphicFramePr>
        <xdr:cNvPr id="4" name="图表 1">
          <a:extLst>
            <a:ext uri="{FF2B5EF4-FFF2-40B4-BE49-F238E27FC236}">
              <a16:creationId xmlns:a16="http://schemas.microsoft.com/office/drawing/2014/main" id="{739F1C0F-9CE1-4B22-8F45-760FB42CB69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90767</xdr:colOff>
      <xdr:row>42</xdr:row>
      <xdr:rowOff>7843</xdr:rowOff>
    </xdr:from>
    <xdr:to>
      <xdr:col>26</xdr:col>
      <xdr:colOff>574296</xdr:colOff>
      <xdr:row>62</xdr:row>
      <xdr:rowOff>69986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270977E-71C1-2F69-1CDF-F8C9DE86733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56029</xdr:colOff>
      <xdr:row>35</xdr:row>
      <xdr:rowOff>57148</xdr:rowOff>
    </xdr:from>
    <xdr:to>
      <xdr:col>44</xdr:col>
      <xdr:colOff>595588</xdr:colOff>
      <xdr:row>54</xdr:row>
      <xdr:rowOff>138501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95248</xdr:colOff>
      <xdr:row>16</xdr:row>
      <xdr:rowOff>137628</xdr:rowOff>
    </xdr:from>
    <xdr:to>
      <xdr:col>44</xdr:col>
      <xdr:colOff>643975</xdr:colOff>
      <xdr:row>34</xdr:row>
      <xdr:rowOff>159896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197972</xdr:colOff>
      <xdr:row>50</xdr:row>
      <xdr:rowOff>132657</xdr:rowOff>
    </xdr:from>
    <xdr:to>
      <xdr:col>21</xdr:col>
      <xdr:colOff>258468</xdr:colOff>
      <xdr:row>80</xdr:row>
      <xdr:rowOff>153834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936B0C8-6055-F3A2-64FC-4D028FDD4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535214</xdr:colOff>
      <xdr:row>50</xdr:row>
      <xdr:rowOff>11793</xdr:rowOff>
    </xdr:from>
    <xdr:to>
      <xdr:col>40</xdr:col>
      <xdr:colOff>77571</xdr:colOff>
      <xdr:row>79</xdr:row>
      <xdr:rowOff>150364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CDEA31D-C127-4AEC-1CD3-32D1F03F5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935181</xdr:colOff>
      <xdr:row>83</xdr:row>
      <xdr:rowOff>76119</xdr:rowOff>
    </xdr:from>
    <xdr:to>
      <xdr:col>20</xdr:col>
      <xdr:colOff>239208</xdr:colOff>
      <xdr:row>113</xdr:row>
      <xdr:rowOff>33261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484B253-9A05-8B4B-D686-8CD844D83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826405</xdr:colOff>
      <xdr:row>19</xdr:row>
      <xdr:rowOff>36737</xdr:rowOff>
    </xdr:from>
    <xdr:to>
      <xdr:col>16</xdr:col>
      <xdr:colOff>144522</xdr:colOff>
      <xdr:row>39</xdr:row>
      <xdr:rowOff>50854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B422FF5-0641-F1F8-B586-A2490B836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802341</xdr:colOff>
      <xdr:row>41</xdr:row>
      <xdr:rowOff>99731</xdr:rowOff>
    </xdr:from>
    <xdr:to>
      <xdr:col>16</xdr:col>
      <xdr:colOff>120458</xdr:colOff>
      <xdr:row>61</xdr:row>
      <xdr:rowOff>113849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1229A2A-7631-85B7-960D-1F9C32569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172356</xdr:colOff>
      <xdr:row>30</xdr:row>
      <xdr:rowOff>143329</xdr:rowOff>
    </xdr:from>
    <xdr:to>
      <xdr:col>40</xdr:col>
      <xdr:colOff>286091</xdr:colOff>
      <xdr:row>50</xdr:row>
      <xdr:rowOff>146241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17AC723-DD59-6D64-46B7-1E78945F4B6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</xdr:colOff>
      <xdr:row>30</xdr:row>
      <xdr:rowOff>88901</xdr:rowOff>
    </xdr:from>
    <xdr:to>
      <xdr:col>53</xdr:col>
      <xdr:colOff>315442</xdr:colOff>
      <xdr:row>50</xdr:row>
      <xdr:rowOff>91813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A859F2B-8496-FC66-CC09-66574B6390B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334818</xdr:colOff>
      <xdr:row>52</xdr:row>
      <xdr:rowOff>77355</xdr:rowOff>
    </xdr:from>
    <xdr:to>
      <xdr:col>40</xdr:col>
      <xdr:colOff>448553</xdr:colOff>
      <xdr:row>72</xdr:row>
      <xdr:rowOff>91473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E6F51AC5-C659-5EEB-5ADE-C6D2D34AC74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195303</xdr:colOff>
      <xdr:row>53</xdr:row>
      <xdr:rowOff>50479</xdr:rowOff>
    </xdr:from>
    <xdr:to>
      <xdr:col>52</xdr:col>
      <xdr:colOff>510745</xdr:colOff>
      <xdr:row>73</xdr:row>
      <xdr:rowOff>64596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959721A-7D40-F28C-402D-DEDB8D7A4B0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56</xdr:col>
      <xdr:colOff>661147</xdr:colOff>
      <xdr:row>22</xdr:row>
      <xdr:rowOff>17929</xdr:rowOff>
    </xdr:from>
    <xdr:to>
      <xdr:col>69</xdr:col>
      <xdr:colOff>269497</xdr:colOff>
      <xdr:row>41</xdr:row>
      <xdr:rowOff>160354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0740;&#31350;&#29983;/&#30740;1/&#23548;&#24072;&#25991;&#20214;/&#28526;&#27728;&#33021;&#36873;&#22336;/&#20854;&#20182;&#25991;&#20214;/wave_P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P1" t="str">
            <v>Archimedes Waveswing</v>
          </cell>
          <cell r="Q1" t="str">
            <v>Aquabuoy</v>
          </cell>
          <cell r="R1" t="str">
            <v>RM5</v>
          </cell>
          <cell r="S1" t="str">
            <v xml:space="preserve">Wavestar C6 </v>
          </cell>
          <cell r="T1" t="str">
            <v>Wave Dragon</v>
          </cell>
          <cell r="U1" t="str">
            <v>SeaPower</v>
          </cell>
          <cell r="V1" t="str">
            <v>OE buoy</v>
          </cell>
          <cell r="W1" t="str">
            <v>Langlee</v>
          </cell>
          <cell r="Y1" t="str">
            <v>CycWEC</v>
          </cell>
          <cell r="AD1" t="str">
            <v>Archimedes Waveswing</v>
          </cell>
          <cell r="AE1" t="str">
            <v>Aquabuoy</v>
          </cell>
          <cell r="AF1" t="str">
            <v>RM5</v>
          </cell>
          <cell r="AG1" t="str">
            <v xml:space="preserve">Wavestar C6 </v>
          </cell>
          <cell r="AH1" t="str">
            <v>Wave Dragon</v>
          </cell>
          <cell r="AI1" t="str">
            <v>SeaPower</v>
          </cell>
          <cell r="AJ1" t="str">
            <v>OE buoy</v>
          </cell>
          <cell r="AK1" t="str">
            <v>Langlee</v>
          </cell>
          <cell r="AL1" t="str">
            <v>CycWEC</v>
          </cell>
          <cell r="BD1" t="str">
            <v>Archimedes Waveswing</v>
          </cell>
          <cell r="BE1" t="str">
            <v>Aquabuoy</v>
          </cell>
          <cell r="BF1" t="str">
            <v>RM5</v>
          </cell>
          <cell r="BG1" t="str">
            <v xml:space="preserve">Wavestar C6 </v>
          </cell>
          <cell r="BH1" t="str">
            <v>Wave Dragon</v>
          </cell>
          <cell r="BI1" t="str">
            <v>SeaPower</v>
          </cell>
          <cell r="BJ1" t="str">
            <v>OE buoy</v>
          </cell>
          <cell r="BK1" t="str">
            <v>Langlee</v>
          </cell>
          <cell r="BL1" t="str">
            <v>CycWEC</v>
          </cell>
        </row>
        <row r="2">
          <cell r="A2" t="str">
            <v>H1</v>
          </cell>
          <cell r="P2">
            <v>388.5175683060113</v>
          </cell>
          <cell r="Q2">
            <v>116.7511338797817</v>
          </cell>
          <cell r="R2">
            <v>461.64122950819694</v>
          </cell>
          <cell r="S2">
            <v>2132.6551092896138</v>
          </cell>
          <cell r="T2">
            <v>7212.646325136614</v>
          </cell>
          <cell r="U2">
            <v>694.93605600000001</v>
          </cell>
          <cell r="V2">
            <v>264.46702799999997</v>
          </cell>
          <cell r="W2">
            <v>736.46195999999998</v>
          </cell>
          <cell r="Y2">
            <v>1367.7496080000001</v>
          </cell>
          <cell r="AD2">
            <v>1.7740528233151202E-2</v>
          </cell>
          <cell r="AE2">
            <v>5.3311020036429999E-2</v>
          </cell>
          <cell r="AF2">
            <v>0.1463854735883425</v>
          </cell>
          <cell r="AG2">
            <v>0.40575629933211832</v>
          </cell>
          <cell r="AH2">
            <v>0.13955278858324849</v>
          </cell>
          <cell r="AI2">
            <v>2.211614162252579E-2</v>
          </cell>
          <cell r="AJ2">
            <v>1.078225E-2</v>
          </cell>
          <cell r="AK2">
            <v>5.0493093093093092E-2</v>
          </cell>
          <cell r="AL2">
            <v>6.2454319999999994E-2</v>
          </cell>
          <cell r="BD2">
            <v>7.3343999716269021E-4</v>
          </cell>
          <cell r="BE2">
            <v>6.6231635639523898E-4</v>
          </cell>
          <cell r="BF2">
            <v>7.1910109848029417E-3</v>
          </cell>
          <cell r="BG2">
            <v>9.2081689586556159E-2</v>
          </cell>
          <cell r="BH2">
            <v>0.10710766142115802</v>
          </cell>
          <cell r="BI2">
            <v>1.6354662583086845E-3</v>
          </cell>
          <cell r="BJ2">
            <v>3.0343684428764064E-4</v>
          </cell>
          <cell r="BK2">
            <v>1.39028631371281E-3</v>
          </cell>
          <cell r="BL2">
            <v>9.0898447167612612E-3</v>
          </cell>
        </row>
        <row r="3">
          <cell r="A3" t="str">
            <v>H2</v>
          </cell>
          <cell r="P3">
            <v>343.26953551912595</v>
          </cell>
          <cell r="Q3">
            <v>102.14913934426225</v>
          </cell>
          <cell r="R3">
            <v>430.09166666666647</v>
          </cell>
          <cell r="S3">
            <v>2004.3755601092901</v>
          </cell>
          <cell r="T3">
            <v>6752.0213114754088</v>
          </cell>
          <cell r="U3">
            <v>614.47370399999988</v>
          </cell>
          <cell r="V3">
            <v>229.82035199999999</v>
          </cell>
          <cell r="W3">
            <v>679.62795600000004</v>
          </cell>
          <cell r="Y3">
            <v>1132.502436</v>
          </cell>
          <cell r="AD3">
            <v>1.5674408014571959E-2</v>
          </cell>
          <cell r="AE3">
            <v>4.6643442622950802E-2</v>
          </cell>
          <cell r="AF3">
            <v>0.1363811728395061</v>
          </cell>
          <cell r="AG3">
            <v>0.38134999241044332</v>
          </cell>
          <cell r="AH3">
            <v>0.13064045568213389</v>
          </cell>
          <cell r="AI3">
            <v>1.9555450236966823E-2</v>
          </cell>
          <cell r="AJ3">
            <v>9.369714285714285E-3</v>
          </cell>
          <cell r="AK3">
            <v>4.6596456456456457E-2</v>
          </cell>
          <cell r="AL3">
            <v>5.1712440000000005E-2</v>
          </cell>
          <cell r="BD3">
            <v>6.3646772178906877E-4</v>
          </cell>
          <cell r="BE3">
            <v>5.6360557766890686E-4</v>
          </cell>
          <cell r="BF3">
            <v>6.9384972799065902E-3</v>
          </cell>
          <cell r="BG3">
            <v>9.0417566507117034E-2</v>
          </cell>
          <cell r="BH3">
            <v>0.10434255442247728</v>
          </cell>
          <cell r="BI3">
            <v>1.4214156581343381E-3</v>
          </cell>
          <cell r="BJ3">
            <v>2.5472103284342488E-4</v>
          </cell>
          <cell r="BK3">
            <v>1.2601213101107846E-3</v>
          </cell>
          <cell r="BL3">
            <v>6.9276214526739939E-3</v>
          </cell>
        </row>
        <row r="4">
          <cell r="A4" t="str">
            <v>H3</v>
          </cell>
          <cell r="P4">
            <v>357.92637978142079</v>
          </cell>
          <cell r="Q4">
            <v>107.47554644808731</v>
          </cell>
          <cell r="R4">
            <v>439.49490437158505</v>
          </cell>
          <cell r="S4">
            <v>2037.2405191256817</v>
          </cell>
          <cell r="T4">
            <v>6907.7147540983606</v>
          </cell>
          <cell r="U4">
            <v>637.28386799999998</v>
          </cell>
          <cell r="V4">
            <v>242.56264800000002</v>
          </cell>
          <cell r="W4">
            <v>699.78909599999997</v>
          </cell>
          <cell r="Y4">
            <v>1232.1693360000002</v>
          </cell>
          <cell r="AD4">
            <v>1.6343670309653918E-2</v>
          </cell>
          <cell r="AE4">
            <v>4.9075591985427998E-2</v>
          </cell>
          <cell r="AF4">
            <v>0.1393629199554747</v>
          </cell>
          <cell r="AG4">
            <v>0.38760283849423166</v>
          </cell>
          <cell r="AH4">
            <v>0.13365286653700101</v>
          </cell>
          <cell r="AI4">
            <v>2.0281377195427934E-2</v>
          </cell>
          <cell r="AJ4">
            <v>9.8892142857142859E-3</v>
          </cell>
          <cell r="AK4">
            <v>4.7978738738738744E-2</v>
          </cell>
          <cell r="AL4">
            <v>5.6263440000000005E-2</v>
          </cell>
          <cell r="BD4">
            <v>6.9721648128123856E-4</v>
          </cell>
          <cell r="BE4">
            <v>6.2863644128238576E-4</v>
          </cell>
          <cell r="BF4">
            <v>7.3000431163342946E-3</v>
          </cell>
          <cell r="BG4">
            <v>9.4113862625295336E-2</v>
          </cell>
          <cell r="BH4">
            <v>0.1100365631492702</v>
          </cell>
          <cell r="BI4">
            <v>1.5404752003832852E-3</v>
          </cell>
          <cell r="BJ4">
            <v>2.8589730173666768E-4</v>
          </cell>
          <cell r="BK4">
            <v>1.3631420278383878E-3</v>
          </cell>
          <cell r="BL4">
            <v>8.2626816900956048E-3</v>
          </cell>
        </row>
        <row r="5">
          <cell r="A5" t="str">
            <v>H4</v>
          </cell>
          <cell r="P5">
            <v>356.66583333333352</v>
          </cell>
          <cell r="Q5">
            <v>108.0260382513665</v>
          </cell>
          <cell r="R5">
            <v>447.76424863387967</v>
          </cell>
          <cell r="S5">
            <v>2074.0825819672141</v>
          </cell>
          <cell r="T5">
            <v>6926.0046448087496</v>
          </cell>
          <cell r="U5">
            <v>660.63977999999986</v>
          </cell>
          <cell r="V5">
            <v>243.48157199999997</v>
          </cell>
          <cell r="W5">
            <v>710.75661600000001</v>
          </cell>
          <cell r="Y5">
            <v>1264.7127359999999</v>
          </cell>
          <cell r="AD5">
            <v>1.6286111111111119E-2</v>
          </cell>
          <cell r="AE5">
            <v>4.9326958105646801E-2</v>
          </cell>
          <cell r="AF5">
            <v>0.14198511181946971</v>
          </cell>
          <cell r="AG5">
            <v>0.39461236338797834</v>
          </cell>
          <cell r="AH5">
            <v>0.13400674570096646</v>
          </cell>
          <cell r="AI5">
            <v>2.1024672428212991E-2</v>
          </cell>
          <cell r="AJ5">
            <v>9.9266785714285707E-3</v>
          </cell>
          <cell r="AK5">
            <v>4.8730690690690692E-2</v>
          </cell>
          <cell r="AL5">
            <v>5.7749440000000006E-2</v>
          </cell>
          <cell r="BD5">
            <v>7.0901096948791241E-4</v>
          </cell>
          <cell r="BE5">
            <v>6.5040944013358758E-4</v>
          </cell>
          <cell r="BF5">
            <v>7.7600813725672881E-3</v>
          </cell>
          <cell r="BG5">
            <v>9.9901218384435025E-2</v>
          </cell>
          <cell r="BH5">
            <v>0.11328789099035275</v>
          </cell>
          <cell r="BI5">
            <v>1.6953837325759233E-3</v>
          </cell>
          <cell r="BJ5">
            <v>2.950150075749606E-4</v>
          </cell>
          <cell r="BK5">
            <v>1.4129030321475731E-3</v>
          </cell>
          <cell r="BL5">
            <v>8.9148434685205318E-3</v>
          </cell>
        </row>
        <row r="6">
          <cell r="A6" t="str">
            <v>H5</v>
          </cell>
          <cell r="P6">
            <v>381.9196448087431</v>
          </cell>
          <cell r="Q6">
            <v>114.97300546448083</v>
          </cell>
          <cell r="R6">
            <v>462.12889344262311</v>
          </cell>
          <cell r="S6">
            <v>2123.1940300546453</v>
          </cell>
          <cell r="T6">
            <v>7181.6073633879741</v>
          </cell>
          <cell r="U6">
            <v>699.98444399999994</v>
          </cell>
          <cell r="V6">
            <v>259.03670399999999</v>
          </cell>
          <cell r="W6">
            <v>735.90745200000003</v>
          </cell>
          <cell r="Y6">
            <v>1463.5761240000002</v>
          </cell>
          <cell r="AD6">
            <v>1.7439253187613839E-2</v>
          </cell>
          <cell r="AE6">
            <v>5.2499089253187602E-2</v>
          </cell>
          <cell r="AF6">
            <v>0.14654011080752888</v>
          </cell>
          <cell r="AG6">
            <v>0.40395624620522164</v>
          </cell>
          <cell r="AH6">
            <v>0.13895223596060627</v>
          </cell>
          <cell r="AI6">
            <v>2.2276805129634789E-2</v>
          </cell>
          <cell r="AJ6">
            <v>1.0560857142857143E-2</v>
          </cell>
          <cell r="AK6">
            <v>5.0455075075075073E-2</v>
          </cell>
          <cell r="AL6">
            <v>6.6829960000000008E-2</v>
          </cell>
          <cell r="BD6">
            <v>8.2778010382728625E-4</v>
          </cell>
          <cell r="BE6">
            <v>7.5017529306214471E-4</v>
          </cell>
          <cell r="BF6">
            <v>8.4165622742179962E-3</v>
          </cell>
          <cell r="BG6">
            <v>0.1065955599268312</v>
          </cell>
          <cell r="BH6">
            <v>0.12402301935873551</v>
          </cell>
          <cell r="BI6">
            <v>1.9380117125855653E-3</v>
          </cell>
          <cell r="BJ6">
            <v>3.3999738467832205E-4</v>
          </cell>
          <cell r="BK6">
            <v>1.5950201967979212E-3</v>
          </cell>
          <cell r="BL6">
            <v>1.2156305903051695E-2</v>
          </cell>
        </row>
        <row r="7">
          <cell r="A7" t="str">
            <v>H6</v>
          </cell>
          <cell r="P7">
            <v>387.89228142076507</v>
          </cell>
          <cell r="Q7">
            <v>117.09219945355211</v>
          </cell>
          <cell r="R7">
            <v>460.63199453551886</v>
          </cell>
          <cell r="S7">
            <v>2108.2200546448116</v>
          </cell>
          <cell r="T7">
            <v>7236.7542759562866</v>
          </cell>
          <cell r="U7">
            <v>699.69711600000005</v>
          </cell>
          <cell r="V7">
            <v>263.27829600000001</v>
          </cell>
          <cell r="W7">
            <v>739.13376000000005</v>
          </cell>
          <cell r="Y7">
            <v>1514.182644</v>
          </cell>
          <cell r="AD7">
            <v>1.771197632058288E-2</v>
          </cell>
          <cell r="AE7">
            <v>5.3466757741348001E-2</v>
          </cell>
          <cell r="AF7">
            <v>0.14606544727787887</v>
          </cell>
          <cell r="AG7">
            <v>0.40110731633272667</v>
          </cell>
          <cell r="AH7">
            <v>0.14001923759686338</v>
          </cell>
          <cell r="AI7">
            <v>2.2267660998048507E-2</v>
          </cell>
          <cell r="AJ7">
            <v>1.0733785714285715E-2</v>
          </cell>
          <cell r="AK7">
            <v>5.0676276276276279E-2</v>
          </cell>
          <cell r="AL7">
            <v>6.9140759999999996E-2</v>
          </cell>
          <cell r="BD7">
            <v>8.792134524995695E-4</v>
          </cell>
          <cell r="BE7">
            <v>8.0117608392319285E-4</v>
          </cell>
          <cell r="BF7">
            <v>8.6102895545809993E-3</v>
          </cell>
          <cell r="BG7">
            <v>0.10821630169152399</v>
          </cell>
          <cell r="BH7">
            <v>0.1296724447376818</v>
          </cell>
          <cell r="BI7">
            <v>1.9938884085565962E-3</v>
          </cell>
          <cell r="BJ7">
            <v>3.6164639736828143E-4</v>
          </cell>
          <cell r="BK7">
            <v>1.6753526071936929E-3</v>
          </cell>
          <cell r="BL7">
            <v>1.3397648412793816E-2</v>
          </cell>
        </row>
        <row r="8">
          <cell r="A8" t="str">
            <v>H7</v>
          </cell>
          <cell r="P8">
            <v>355.38733606557378</v>
          </cell>
          <cell r="Q8">
            <v>106.16015027322364</v>
          </cell>
          <cell r="R8">
            <v>439.28647540983633</v>
          </cell>
          <cell r="S8">
            <v>2028.7996448087467</v>
          </cell>
          <cell r="T8">
            <v>6851.5825409836052</v>
          </cell>
          <cell r="U8">
            <v>646.728024</v>
          </cell>
          <cell r="V8">
            <v>241.38705599999997</v>
          </cell>
          <cell r="W8">
            <v>698.68358399999988</v>
          </cell>
          <cell r="Y8">
            <v>1314.7358400000001</v>
          </cell>
          <cell r="AD8">
            <v>1.6227732240437161E-2</v>
          </cell>
          <cell r="AE8">
            <v>4.8474954462659196E-2</v>
          </cell>
          <cell r="AF8">
            <v>0.13929682756527029</v>
          </cell>
          <cell r="AG8">
            <v>0.38599688828172501</v>
          </cell>
          <cell r="AH8">
            <v>0.13256680096323051</v>
          </cell>
          <cell r="AI8">
            <v>2.0581934764427098E-2</v>
          </cell>
          <cell r="AJ8">
            <v>9.8412857142857139E-3</v>
          </cell>
          <cell r="AK8">
            <v>4.7902942942942943E-2</v>
          </cell>
          <cell r="AL8">
            <v>6.0033599999999999E-2</v>
          </cell>
          <cell r="BD8">
            <v>7.8107504290846628E-4</v>
          </cell>
          <cell r="BE8">
            <v>6.9696651684239509E-4</v>
          </cell>
          <cell r="BF8">
            <v>8.287471317780867E-3</v>
          </cell>
          <cell r="BG8">
            <v>0.10606105528297648</v>
          </cell>
          <cell r="BH8">
            <v>0.1230151641347126</v>
          </cell>
          <cell r="BI8">
            <v>1.8027722222478735E-3</v>
          </cell>
          <cell r="BJ8">
            <v>3.2173536331645561E-4</v>
          </cell>
          <cell r="BK8">
            <v>1.5355761305224094E-3</v>
          </cell>
          <cell r="BL8">
            <v>1.0689708670678593E-2</v>
          </cell>
        </row>
        <row r="9">
          <cell r="A9" t="str">
            <v>H8</v>
          </cell>
          <cell r="P9">
            <v>343.63752732240448</v>
          </cell>
          <cell r="Q9">
            <v>99.311912568306212</v>
          </cell>
          <cell r="R9">
            <v>423.58948087431696</v>
          </cell>
          <cell r="S9">
            <v>1963.6062568306002</v>
          </cell>
          <cell r="T9">
            <v>6603.5042076502759</v>
          </cell>
          <cell r="U9">
            <v>620.07046800000001</v>
          </cell>
          <cell r="V9">
            <v>231.36649199999999</v>
          </cell>
          <cell r="W9">
            <v>664.29269999999997</v>
          </cell>
          <cell r="Y9">
            <v>1227.554568</v>
          </cell>
          <cell r="AD9">
            <v>1.5691211293260478E-2</v>
          </cell>
          <cell r="AE9">
            <v>4.5347905282331603E-2</v>
          </cell>
          <cell r="AF9">
            <v>0.13431934325035416</v>
          </cell>
          <cell r="AG9">
            <v>0.37359327565270167</v>
          </cell>
          <cell r="AH9">
            <v>0.12776689512518916</v>
          </cell>
          <cell r="AI9">
            <v>1.9733565653749653E-2</v>
          </cell>
          <cell r="AJ9">
            <v>9.4327500000000002E-3</v>
          </cell>
          <cell r="AK9">
            <v>4.5545045045045043E-2</v>
          </cell>
          <cell r="AL9">
            <v>5.605272E-2</v>
          </cell>
          <cell r="BD9">
            <v>6.7987987601865268E-4</v>
          </cell>
          <cell r="BE9">
            <v>5.6785010079728724E-4</v>
          </cell>
          <cell r="BF9">
            <v>7.1739584485758139E-3</v>
          </cell>
          <cell r="BG9">
            <v>9.2497200490052833E-2</v>
          </cell>
          <cell r="BH9">
            <v>0.10638194605476736</v>
          </cell>
          <cell r="BI9">
            <v>1.5428430316626997E-3</v>
          </cell>
          <cell r="BJ9">
            <v>2.7517813110354566E-4</v>
          </cell>
          <cell r="BK9">
            <v>1.3142896296432815E-3</v>
          </cell>
          <cell r="BL9">
            <v>8.6758618777556477E-3</v>
          </cell>
        </row>
        <row r="10">
          <cell r="A10" t="str">
            <v>H9</v>
          </cell>
          <cell r="P10">
            <v>330.2761338797817</v>
          </cell>
          <cell r="Q10">
            <v>95.126379781420837</v>
          </cell>
          <cell r="R10">
            <v>417.56498633879772</v>
          </cell>
          <cell r="S10">
            <v>1942.4113251366143</v>
          </cell>
          <cell r="T10">
            <v>6455.4149316939856</v>
          </cell>
          <cell r="U10">
            <v>604.38743999999997</v>
          </cell>
          <cell r="V10">
            <v>222.92360399999998</v>
          </cell>
          <cell r="W10">
            <v>652.35807599999998</v>
          </cell>
          <cell r="Y10">
            <v>1175.0655240000001</v>
          </cell>
          <cell r="AD10">
            <v>1.5081102003643E-2</v>
          </cell>
          <cell r="AE10">
            <v>4.34367030965392E-2</v>
          </cell>
          <cell r="AF10">
            <v>0.13240898856506778</v>
          </cell>
          <cell r="AG10">
            <v>0.36956075440194336</v>
          </cell>
          <cell r="AH10">
            <v>0.1249016123305856</v>
          </cell>
          <cell r="AI10">
            <v>1.9234457764148314E-2</v>
          </cell>
          <cell r="AJ10">
            <v>9.0885357142857139E-3</v>
          </cell>
          <cell r="AK10">
            <v>4.4726786786786786E-2</v>
          </cell>
          <cell r="AL10">
            <v>5.3655960000000003E-2</v>
          </cell>
          <cell r="BD10">
            <v>6.5082953922583782E-4</v>
          </cell>
          <cell r="BE10">
            <v>5.3990184289914379E-4</v>
          </cell>
          <cell r="BF10">
            <v>7.2243458651377827E-3</v>
          </cell>
          <cell r="BG10">
            <v>9.3795938448051536E-2</v>
          </cell>
          <cell r="BH10">
            <v>0.10535355468596698</v>
          </cell>
          <cell r="BI10">
            <v>1.5189810807211583E-3</v>
          </cell>
          <cell r="BJ10">
            <v>2.6473231673157705E-4</v>
          </cell>
          <cell r="BK10">
            <v>1.285511917030845E-3</v>
          </cell>
          <cell r="BL10">
            <v>8.2382893309227104E-3</v>
          </cell>
        </row>
        <row r="11">
          <cell r="A11" t="str">
            <v>H10</v>
          </cell>
          <cell r="P11">
            <v>357.16047814207633</v>
          </cell>
          <cell r="Q11">
            <v>106.27982240437126</v>
          </cell>
          <cell r="R11">
            <v>439.6863797814205</v>
          </cell>
          <cell r="S11">
            <v>2021.2912158469974</v>
          </cell>
          <cell r="T11">
            <v>6779.5508879781401</v>
          </cell>
          <cell r="U11">
            <v>654.14862000000005</v>
          </cell>
          <cell r="V11">
            <v>244.806084</v>
          </cell>
          <cell r="W11">
            <v>694.79239199999995</v>
          </cell>
          <cell r="Y11">
            <v>1356.4027800000001</v>
          </cell>
          <cell r="AD11">
            <v>1.6308697632058281E-2</v>
          </cell>
          <cell r="AE11">
            <v>4.8529599271402393E-2</v>
          </cell>
          <cell r="AF11">
            <v>0.13942363640963359</v>
          </cell>
          <cell r="AG11">
            <v>0.38456834395871337</v>
          </cell>
          <cell r="AH11">
            <v>0.13117310749899661</v>
          </cell>
          <cell r="AI11">
            <v>2.081809311402286E-2</v>
          </cell>
          <cell r="AJ11">
            <v>9.9806785714285726E-3</v>
          </cell>
          <cell r="AK11">
            <v>4.7636156156156156E-2</v>
          </cell>
          <cell r="AL11">
            <v>6.1936199999999997E-2</v>
          </cell>
          <cell r="BD11">
            <v>7.6245105139486583E-4</v>
          </cell>
          <cell r="BE11">
            <v>6.751290822192336E-4</v>
          </cell>
          <cell r="BF11">
            <v>8.024328682765201E-3</v>
          </cell>
          <cell r="BG11">
            <v>0.10174936599776462</v>
          </cell>
          <cell r="BH11">
            <v>0.11640590809096449</v>
          </cell>
          <cell r="BI11">
            <v>1.7825703040683163E-3</v>
          </cell>
          <cell r="BJ11">
            <v>3.1982438043452071E-4</v>
          </cell>
          <cell r="BK11">
            <v>1.4832133514246896E-3</v>
          </cell>
          <cell r="BL11">
            <v>1.099670358029226E-2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topLeftCell="AD1" zoomScale="85" zoomScaleNormal="85" workbookViewId="0">
      <selection activeCell="AJ53" sqref="AJ53"/>
    </sheetView>
  </sheetViews>
  <sheetFormatPr defaultColWidth="8.625" defaultRowHeight="14.25" x14ac:dyDescent="0.2"/>
  <cols>
    <col min="1" max="1" width="8.625" style="5"/>
    <col min="2" max="2" width="13.625" style="5" customWidth="1"/>
    <col min="3" max="3" width="10.875" style="5" customWidth="1"/>
    <col min="4" max="4" width="16.875" style="5" customWidth="1"/>
    <col min="5" max="5" width="12.375" style="5" customWidth="1"/>
    <col min="6" max="6" width="5.625" style="5" customWidth="1"/>
    <col min="7" max="7" width="5.25" style="5" bestFit="1" customWidth="1"/>
    <col min="8" max="8" width="12.125" style="5" customWidth="1"/>
    <col min="9" max="9" width="5.625" style="5" customWidth="1"/>
    <col min="10" max="10" width="9"/>
    <col min="11" max="11" width="14.25" style="5" customWidth="1"/>
    <col min="12" max="12" width="11.75" style="5" customWidth="1"/>
    <col min="13" max="13" width="12.125" style="5" customWidth="1"/>
    <col min="14" max="14" width="11.875" style="5" customWidth="1"/>
    <col min="15" max="15" width="13.125" style="5" customWidth="1"/>
    <col min="16" max="16" width="12" style="5" customWidth="1"/>
    <col min="17" max="17" width="10.875" style="5" customWidth="1"/>
    <col min="18" max="18" width="12.125" style="5" customWidth="1"/>
    <col min="19" max="19" width="13" style="5" customWidth="1"/>
    <col min="20" max="20" width="8.625" style="5" customWidth="1"/>
    <col min="21" max="21" width="10.125" style="5" customWidth="1"/>
    <col min="22" max="22" width="10.25" style="5" customWidth="1"/>
    <col min="23" max="29" width="8.625" style="5"/>
    <col min="30" max="30" width="11.625" style="5" customWidth="1"/>
    <col min="31" max="36" width="8.625" style="5"/>
    <col min="37" max="37" width="17.875" style="5" customWidth="1"/>
    <col min="38" max="16384" width="8.625" style="5"/>
  </cols>
  <sheetData>
    <row r="1" spans="1:4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90</v>
      </c>
      <c r="F1" s="5" t="s">
        <v>12</v>
      </c>
      <c r="G1" s="5" t="s">
        <v>13</v>
      </c>
      <c r="H1" s="5" t="s">
        <v>86</v>
      </c>
      <c r="K1" s="5" t="s">
        <v>66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  <c r="Q1" s="5" t="s">
        <v>58</v>
      </c>
      <c r="R1" s="5" t="s">
        <v>59</v>
      </c>
      <c r="S1" s="5" t="s">
        <v>60</v>
      </c>
      <c r="T1" s="5" t="s">
        <v>62</v>
      </c>
      <c r="U1" s="5" t="s">
        <v>61</v>
      </c>
      <c r="V1" s="5" t="s">
        <v>63</v>
      </c>
      <c r="X1" s="5" t="s">
        <v>79</v>
      </c>
      <c r="Y1" s="5" t="s">
        <v>53</v>
      </c>
      <c r="Z1" s="5" t="s">
        <v>54</v>
      </c>
      <c r="AA1" s="5" t="s">
        <v>55</v>
      </c>
      <c r="AB1" s="5" t="s">
        <v>82</v>
      </c>
      <c r="AC1" s="5" t="s">
        <v>83</v>
      </c>
      <c r="AD1" s="5" t="s">
        <v>81</v>
      </c>
      <c r="AE1" s="5" t="s">
        <v>59</v>
      </c>
      <c r="AF1" s="5" t="s">
        <v>60</v>
      </c>
      <c r="AG1" s="5" t="s">
        <v>62</v>
      </c>
      <c r="AH1" s="5" t="s">
        <v>61</v>
      </c>
      <c r="AI1" s="5" t="s">
        <v>63</v>
      </c>
      <c r="AK1" s="5" t="s">
        <v>139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62</v>
      </c>
      <c r="AU1" s="5" t="s">
        <v>61</v>
      </c>
      <c r="AV1" s="5" t="s">
        <v>63</v>
      </c>
    </row>
    <row r="2" spans="1:48" ht="15" x14ac:dyDescent="0.25">
      <c r="A2" s="5" t="s">
        <v>5</v>
      </c>
      <c r="B2" s="5">
        <v>122.3</v>
      </c>
      <c r="C2" s="5">
        <v>29.58</v>
      </c>
      <c r="D2" s="6">
        <v>6.4823000000000004</v>
      </c>
      <c r="E2" s="6">
        <v>166.8408</v>
      </c>
      <c r="F2" s="5">
        <v>1.07</v>
      </c>
      <c r="G2" s="5">
        <v>1.19</v>
      </c>
      <c r="H2" s="19">
        <v>10.210000000000001</v>
      </c>
      <c r="L2" s="8">
        <f>L17*0.4*L16*8760/1000000</f>
        <v>11456.453369587971</v>
      </c>
      <c r="M2" s="8">
        <f t="shared" ref="M2:V2" si="0">M17*0.4*M16*8760/1000000</f>
        <v>13419.249838972994</v>
      </c>
      <c r="N2" s="8">
        <f t="shared" si="0"/>
        <v>10883.722484904194</v>
      </c>
      <c r="O2" s="8">
        <f t="shared" si="0"/>
        <v>10883.722484904194</v>
      </c>
      <c r="P2" s="8">
        <f t="shared" si="0"/>
        <v>7343.736217492753</v>
      </c>
      <c r="Q2" s="8">
        <f t="shared" si="0"/>
        <v>10325.67700752</v>
      </c>
      <c r="R2" s="8">
        <f t="shared" si="0"/>
        <v>8488.1654191595535</v>
      </c>
      <c r="S2" s="8">
        <f t="shared" si="0"/>
        <v>12798.791380565572</v>
      </c>
      <c r="T2" s="8">
        <f t="shared" si="0"/>
        <v>5839.211650460591</v>
      </c>
      <c r="U2" s="8">
        <f t="shared" si="0"/>
        <v>6175.2137694750727</v>
      </c>
      <c r="V2" s="8">
        <f t="shared" si="0"/>
        <v>15706.502025883199</v>
      </c>
      <c r="Y2" s="9">
        <f>L17*0.4*L16/1000000/Y15</f>
        <v>0.23778442029032734</v>
      </c>
      <c r="Z2" s="9">
        <f>M17*0.4*M16/1000000/Z15</f>
        <v>0.23423208493871561</v>
      </c>
      <c r="AA2" s="9">
        <f t="shared" ref="AA2:AI2" si="1">N17*0.4*N16/1000000/AA15</f>
        <v>0.20707234560320001</v>
      </c>
      <c r="AB2" s="9">
        <f t="shared" si="1"/>
        <v>0.17749058194560002</v>
      </c>
      <c r="AC2" s="9">
        <f t="shared" si="1"/>
        <v>0.16535030615881657</v>
      </c>
      <c r="AD2" s="9">
        <f t="shared" si="1"/>
        <v>0.29468256300000001</v>
      </c>
      <c r="AE2" s="9">
        <f t="shared" si="1"/>
        <v>0.18634012599138464</v>
      </c>
      <c r="AF2" s="9">
        <f t="shared" si="1"/>
        <v>0.18263115554460005</v>
      </c>
      <c r="AG2" s="9">
        <f t="shared" si="1"/>
        <v>0.28981594453348181</v>
      </c>
      <c r="AH2" s="9">
        <f t="shared" si="1"/>
        <v>0.19581474408533336</v>
      </c>
      <c r="AI2" s="9">
        <f t="shared" si="1"/>
        <v>0.17929796833200001</v>
      </c>
      <c r="AL2" s="8">
        <f>L2/8760*1000</f>
        <v>1307.8143115968005</v>
      </c>
      <c r="AM2" s="8">
        <f t="shared" ref="AM2:AV11" si="2">M2/8760*1000</f>
        <v>1531.8778354992003</v>
      </c>
      <c r="AN2" s="8">
        <f t="shared" si="2"/>
        <v>1242.4340736192003</v>
      </c>
      <c r="AO2" s="8">
        <f t="shared" si="2"/>
        <v>1242.4340736192003</v>
      </c>
      <c r="AP2" s="8">
        <f t="shared" si="2"/>
        <v>838.3260522252001</v>
      </c>
      <c r="AQ2" s="8">
        <f t="shared" si="2"/>
        <v>1178.7302520000001</v>
      </c>
      <c r="AR2" s="8">
        <f t="shared" si="2"/>
        <v>968.96865515520017</v>
      </c>
      <c r="AS2" s="8">
        <f t="shared" si="2"/>
        <v>1461.0492443568005</v>
      </c>
      <c r="AT2" s="8">
        <f t="shared" si="2"/>
        <v>666.57667242700813</v>
      </c>
      <c r="AU2" s="8">
        <f t="shared" si="2"/>
        <v>704.93307870720014</v>
      </c>
      <c r="AV2" s="8">
        <f t="shared" si="2"/>
        <v>1792.9796833199998</v>
      </c>
    </row>
    <row r="3" spans="1:48" ht="15.75" x14ac:dyDescent="0.2">
      <c r="A3" s="5" t="s">
        <v>22</v>
      </c>
      <c r="B3" s="5">
        <v>122.4</v>
      </c>
      <c r="C3" s="5">
        <v>29.72</v>
      </c>
      <c r="D3" s="6">
        <v>6.5412999999999997</v>
      </c>
      <c r="E3" s="6">
        <v>171.43270000000001</v>
      </c>
      <c r="F3" s="5">
        <v>1.05</v>
      </c>
      <c r="G3" s="5">
        <v>1.07</v>
      </c>
      <c r="H3" s="20">
        <v>9.91</v>
      </c>
      <c r="L3" s="8">
        <f>L18*0.4*L16*8760/1000000</f>
        <v>11771.765261090593</v>
      </c>
      <c r="M3" s="8">
        <f t="shared" ref="M3:V3" si="3">M18*0.4*M16*8760/1000000</f>
        <v>13788.58307961665</v>
      </c>
      <c r="N3" s="8">
        <f t="shared" si="3"/>
        <v>11183.271307964449</v>
      </c>
      <c r="O3" s="8">
        <f t="shared" si="3"/>
        <v>11183.271307964449</v>
      </c>
      <c r="P3" s="8">
        <f t="shared" si="3"/>
        <v>7545.8552575423382</v>
      </c>
      <c r="Q3" s="8">
        <f t="shared" si="3"/>
        <v>10609.866943379999</v>
      </c>
      <c r="R3" s="8">
        <f t="shared" si="3"/>
        <v>8721.7821771002891</v>
      </c>
      <c r="S3" s="8">
        <f t="shared" si="3"/>
        <v>13151.047963729994</v>
      </c>
      <c r="T3" s="8">
        <f t="shared" si="3"/>
        <v>5999.9221959491642</v>
      </c>
      <c r="U3" s="8">
        <f t="shared" si="3"/>
        <v>6345.171981783169</v>
      </c>
      <c r="V3" s="8">
        <f t="shared" si="3"/>
        <v>16138.786494985799</v>
      </c>
      <c r="Y3" s="9">
        <f>L18*0.4*L16/1000000/Y15</f>
        <v>0.24432887631985459</v>
      </c>
      <c r="Z3" s="9">
        <f t="shared" ref="Z3:AI3" si="4">M18*0.4*M16/1000000/Z15</f>
        <v>0.24067877130577983</v>
      </c>
      <c r="AA3" s="9">
        <f t="shared" si="4"/>
        <v>0.21277152412413336</v>
      </c>
      <c r="AB3" s="9">
        <f t="shared" si="4"/>
        <v>0.18237559210640003</v>
      </c>
      <c r="AC3" s="9">
        <f t="shared" si="4"/>
        <v>0.16990118382693295</v>
      </c>
      <c r="AD3" s="9">
        <f t="shared" si="4"/>
        <v>0.30279300637500001</v>
      </c>
      <c r="AE3" s="9">
        <f t="shared" si="4"/>
        <v>0.19146869900553848</v>
      </c>
      <c r="AF3" s="9">
        <f t="shared" si="4"/>
        <v>0.18765764788427503</v>
      </c>
      <c r="AG3" s="9">
        <f t="shared" si="4"/>
        <v>0.29779244569928348</v>
      </c>
      <c r="AH3" s="9">
        <f t="shared" si="4"/>
        <v>0.20120408364355558</v>
      </c>
      <c r="AI3" s="9">
        <f t="shared" si="4"/>
        <v>0.18423272254549999</v>
      </c>
      <c r="AL3" s="8">
        <f t="shared" ref="AL3:AL11" si="5">L3/8760*1000</f>
        <v>1343.8088197592001</v>
      </c>
      <c r="AM3" s="8">
        <f t="shared" si="2"/>
        <v>1574.0391643398002</v>
      </c>
      <c r="AN3" s="8">
        <f t="shared" si="2"/>
        <v>1276.6291447448002</v>
      </c>
      <c r="AO3" s="8">
        <f t="shared" si="2"/>
        <v>1276.6291447448002</v>
      </c>
      <c r="AP3" s="8">
        <f t="shared" si="2"/>
        <v>861.39900200254999</v>
      </c>
      <c r="AQ3" s="8">
        <f t="shared" si="2"/>
        <v>1211.1720254999998</v>
      </c>
      <c r="AR3" s="8">
        <f t="shared" si="2"/>
        <v>995.63723482880016</v>
      </c>
      <c r="AS3" s="8">
        <f t="shared" si="2"/>
        <v>1501.2611830742003</v>
      </c>
      <c r="AT3" s="8">
        <f t="shared" si="2"/>
        <v>684.92262510835212</v>
      </c>
      <c r="AU3" s="8">
        <f t="shared" si="2"/>
        <v>724.33470111680015</v>
      </c>
      <c r="AV3" s="8">
        <f t="shared" si="2"/>
        <v>1842.3272254549997</v>
      </c>
    </row>
    <row r="4" spans="1:48" ht="15.75" x14ac:dyDescent="0.2">
      <c r="A4" s="5" t="s">
        <v>6</v>
      </c>
      <c r="B4" s="5">
        <v>122.5</v>
      </c>
      <c r="C4" s="5">
        <v>29.88</v>
      </c>
      <c r="D4" s="6">
        <v>6.5702999999999996</v>
      </c>
      <c r="E4" s="6">
        <v>173.72669999999999</v>
      </c>
      <c r="F4" s="5">
        <v>1.04</v>
      </c>
      <c r="G4" s="5">
        <v>0.95</v>
      </c>
      <c r="H4" s="20">
        <v>7.71</v>
      </c>
      <c r="L4" s="8">
        <f>L16*0.4*L19*8760/1000000</f>
        <v>11929.287306236831</v>
      </c>
      <c r="M4" s="8">
        <f>M16*0.4*M19*8760/1000000</f>
        <v>13973.09285858321</v>
      </c>
      <c r="N4" s="8">
        <f t="shared" ref="N4:V4" si="6">N16*0.4*N19*8760/1000000</f>
        <v>11332.918512847007</v>
      </c>
      <c r="O4" s="8">
        <f t="shared" si="6"/>
        <v>11332.918512847007</v>
      </c>
      <c r="P4" s="8">
        <f t="shared" si="6"/>
        <v>7646.8289455306976</v>
      </c>
      <c r="Q4" s="8">
        <f t="shared" si="6"/>
        <v>10751.841226979999</v>
      </c>
      <c r="R4" s="8">
        <f t="shared" si="6"/>
        <v>8838.4913481876483</v>
      </c>
      <c r="S4" s="8">
        <f t="shared" si="6"/>
        <v>13327.026665744232</v>
      </c>
      <c r="T4" s="8">
        <f t="shared" si="6"/>
        <v>6080.2092212220996</v>
      </c>
      <c r="U4" s="8">
        <f t="shared" si="6"/>
        <v>6430.0789133441285</v>
      </c>
      <c r="V4" s="8">
        <f t="shared" si="6"/>
        <v>16354.7451552618</v>
      </c>
      <c r="Y4" s="9">
        <f>L19*0.4*L16/1000000/Y15</f>
        <v>0.24759832516058183</v>
      </c>
      <c r="Z4" s="9">
        <f t="shared" ref="Z4:AI4" si="7">M19*0.4*M16/1000000/Z15</f>
        <v>0.24389937683422019</v>
      </c>
      <c r="AA4" s="9">
        <f t="shared" si="7"/>
        <v>0.21561869316680002</v>
      </c>
      <c r="AB4" s="9">
        <f t="shared" si="7"/>
        <v>0.18481602271440001</v>
      </c>
      <c r="AC4" s="9">
        <f t="shared" si="7"/>
        <v>0.17217469008156802</v>
      </c>
      <c r="AD4" s="9">
        <f t="shared" si="7"/>
        <v>0.30684478387499997</v>
      </c>
      <c r="AE4" s="9">
        <f t="shared" si="7"/>
        <v>0.19403080760861541</v>
      </c>
      <c r="AF4" s="9">
        <f t="shared" si="7"/>
        <v>0.19016875949977502</v>
      </c>
      <c r="AG4" s="9">
        <f t="shared" si="7"/>
        <v>0.30177730897469224</v>
      </c>
      <c r="AH4" s="9">
        <f t="shared" si="7"/>
        <v>0.20389646478133333</v>
      </c>
      <c r="AI4" s="9">
        <f t="shared" si="7"/>
        <v>0.18669800405549999</v>
      </c>
      <c r="AL4" s="8">
        <f t="shared" si="5"/>
        <v>1361.7907883831999</v>
      </c>
      <c r="AM4" s="8">
        <f t="shared" si="2"/>
        <v>1595.1019244958002</v>
      </c>
      <c r="AN4" s="8">
        <f t="shared" si="2"/>
        <v>1293.7121590007998</v>
      </c>
      <c r="AO4" s="8">
        <f t="shared" si="2"/>
        <v>1293.7121590007998</v>
      </c>
      <c r="AP4" s="8">
        <f t="shared" si="2"/>
        <v>872.92567871354993</v>
      </c>
      <c r="AQ4" s="8">
        <f t="shared" si="2"/>
        <v>1227.3791354999998</v>
      </c>
      <c r="AR4" s="8">
        <f t="shared" si="2"/>
        <v>1008.9601995648001</v>
      </c>
      <c r="AS4" s="8">
        <f t="shared" si="2"/>
        <v>1521.3500759981998</v>
      </c>
      <c r="AT4" s="8">
        <f t="shared" si="2"/>
        <v>694.0878106417922</v>
      </c>
      <c r="AU4" s="8">
        <f t="shared" si="2"/>
        <v>734.02727321280008</v>
      </c>
      <c r="AV4" s="8">
        <f t="shared" si="2"/>
        <v>1866.9800405550002</v>
      </c>
    </row>
    <row r="5" spans="1:48" ht="15.75" x14ac:dyDescent="0.2">
      <c r="A5" s="5" t="s">
        <v>7</v>
      </c>
      <c r="B5" s="5">
        <v>122.5</v>
      </c>
      <c r="C5" s="5">
        <v>30.02</v>
      </c>
      <c r="D5" s="6">
        <v>6.5495999999999999</v>
      </c>
      <c r="E5" s="6">
        <v>172.0753</v>
      </c>
      <c r="F5" s="5">
        <v>1.04</v>
      </c>
      <c r="G5" s="5">
        <v>0.9</v>
      </c>
      <c r="H5" s="20">
        <v>8.02</v>
      </c>
      <c r="L5" s="8">
        <f t="shared" ref="L5:V5" si="8">L16*0.4*L20*8760/1000000</f>
        <v>11815.890660485091</v>
      </c>
      <c r="M5" s="8">
        <f t="shared" si="8"/>
        <v>13840.268338537273</v>
      </c>
      <c r="N5" s="8">
        <f>N16*0.4*N20*8760/1000000</f>
        <v>11225.190790901474</v>
      </c>
      <c r="O5" s="8">
        <f t="shared" si="8"/>
        <v>11225.190790901474</v>
      </c>
      <c r="P5" s="8">
        <f t="shared" si="8"/>
        <v>7574.1402147791814</v>
      </c>
      <c r="Q5" s="8">
        <f t="shared" si="8"/>
        <v>10649.63707182</v>
      </c>
      <c r="R5" s="8">
        <f t="shared" si="8"/>
        <v>8754.4749902392323</v>
      </c>
      <c r="S5" s="8">
        <f t="shared" si="8"/>
        <v>13200.343479821689</v>
      </c>
      <c r="T5" s="8">
        <f t="shared" si="8"/>
        <v>6022.4123626624978</v>
      </c>
      <c r="U5" s="8">
        <f t="shared" si="8"/>
        <v>6368.9562861515524</v>
      </c>
      <c r="V5" s="8">
        <f t="shared" si="8"/>
        <v>16199.281279246203</v>
      </c>
      <c r="Y5" s="9">
        <f>L20*0.4*L16/1000000/Y15</f>
        <v>0.24524472105614548</v>
      </c>
      <c r="Z5" s="9">
        <f t="shared" ref="Z5:AI5" si="9">M20*0.4*M16/1000000/Z15</f>
        <v>0.24158093395293584</v>
      </c>
      <c r="AA5" s="9">
        <f t="shared" si="9"/>
        <v>0.21356907897453337</v>
      </c>
      <c r="AB5" s="9">
        <f t="shared" si="9"/>
        <v>0.18305921054960003</v>
      </c>
      <c r="AC5" s="9">
        <f t="shared" si="9"/>
        <v>0.17053804307681461</v>
      </c>
      <c r="AD5" s="9">
        <f t="shared" si="9"/>
        <v>0.30392799862500003</v>
      </c>
      <c r="AE5" s="9">
        <f t="shared" si="9"/>
        <v>0.19218640213907695</v>
      </c>
      <c r="AF5" s="9">
        <f t="shared" si="9"/>
        <v>0.18836106563672506</v>
      </c>
      <c r="AG5" s="9">
        <f t="shared" si="9"/>
        <v>0.29890869379901225</v>
      </c>
      <c r="AH5" s="9">
        <f t="shared" si="9"/>
        <v>0.20195827898755558</v>
      </c>
      <c r="AI5" s="9">
        <f t="shared" si="9"/>
        <v>0.18492330227450002</v>
      </c>
      <c r="AL5" s="8">
        <f t="shared" si="5"/>
        <v>1348.8459658088004</v>
      </c>
      <c r="AM5" s="8">
        <f t="shared" si="2"/>
        <v>1579.9393080522002</v>
      </c>
      <c r="AN5" s="8">
        <f t="shared" si="2"/>
        <v>1281.4144738472003</v>
      </c>
      <c r="AO5" s="8">
        <f t="shared" si="2"/>
        <v>1281.4144738472003</v>
      </c>
      <c r="AP5" s="8">
        <f t="shared" si="2"/>
        <v>864.62787839944986</v>
      </c>
      <c r="AQ5" s="8">
        <f t="shared" si="2"/>
        <v>1215.7119944999999</v>
      </c>
      <c r="AR5" s="8">
        <f t="shared" si="2"/>
        <v>999.36929112320001</v>
      </c>
      <c r="AS5" s="8">
        <f t="shared" si="2"/>
        <v>1506.8885250938001</v>
      </c>
      <c r="AT5" s="8">
        <f t="shared" si="2"/>
        <v>687.48999573772812</v>
      </c>
      <c r="AU5" s="8">
        <f t="shared" si="2"/>
        <v>727.04980435520008</v>
      </c>
      <c r="AV5" s="8">
        <f t="shared" si="2"/>
        <v>1849.2330227450002</v>
      </c>
    </row>
    <row r="6" spans="1:48" ht="15.75" x14ac:dyDescent="0.2">
      <c r="A6" s="5" t="s">
        <v>8</v>
      </c>
      <c r="B6" s="5">
        <v>122.4</v>
      </c>
      <c r="C6" s="5">
        <v>30.14</v>
      </c>
      <c r="D6" s="6">
        <v>6.3906999999999998</v>
      </c>
      <c r="E6" s="6">
        <v>159.8629</v>
      </c>
      <c r="F6" s="5">
        <v>1.05</v>
      </c>
      <c r="G6" s="5">
        <v>1.02</v>
      </c>
      <c r="H6" s="20">
        <v>11.12</v>
      </c>
      <c r="L6" s="8">
        <f t="shared" ref="L6:V6" si="10">L16*0.4*L21*8760/1000000</f>
        <v>10977.302071058784</v>
      </c>
      <c r="M6" s="8">
        <f t="shared" si="10"/>
        <v>12858.007124652697</v>
      </c>
      <c r="N6" s="8">
        <f t="shared" si="10"/>
        <v>10428.524912563298</v>
      </c>
      <c r="O6" s="8">
        <f t="shared" si="10"/>
        <v>10428.524912563298</v>
      </c>
      <c r="P6" s="8">
        <f t="shared" si="10"/>
        <v>7036.5939779923256</v>
      </c>
      <c r="Q6" s="8">
        <f t="shared" si="10"/>
        <v>9893.8189632599988</v>
      </c>
      <c r="R6" s="8">
        <f t="shared" si="10"/>
        <v>8133.158913086977</v>
      </c>
      <c r="S6" s="8">
        <f t="shared" si="10"/>
        <v>12263.498536282585</v>
      </c>
      <c r="T6" s="8">
        <f t="shared" si="10"/>
        <v>5594.994198999384</v>
      </c>
      <c r="U6" s="8">
        <f t="shared" si="10"/>
        <v>5916.9434653167364</v>
      </c>
      <c r="V6" s="8">
        <f t="shared" si="10"/>
        <v>15049.597956336602</v>
      </c>
      <c r="Y6" s="9">
        <f>L21*0.4*L16/1000000/Y15</f>
        <v>0.22783939541425458</v>
      </c>
      <c r="Z6" s="9">
        <f t="shared" ref="Z6:AI6" si="11">M21*0.4*M16/1000000/Z15</f>
        <v>0.22443563187990831</v>
      </c>
      <c r="AA6" s="9">
        <f t="shared" si="11"/>
        <v>0.19841181340493333</v>
      </c>
      <c r="AB6" s="9">
        <f t="shared" si="11"/>
        <v>0.1700672686328</v>
      </c>
      <c r="AC6" s="9">
        <f t="shared" si="11"/>
        <v>0.15843474412995071</v>
      </c>
      <c r="AD6" s="9">
        <f t="shared" si="11"/>
        <v>0.28235784712500001</v>
      </c>
      <c r="AE6" s="9">
        <f t="shared" si="11"/>
        <v>0.17854669198030768</v>
      </c>
      <c r="AF6" s="9">
        <f t="shared" si="11"/>
        <v>0.17499284441042504</v>
      </c>
      <c r="AG6" s="9">
        <f t="shared" si="11"/>
        <v>0.27769476866187137</v>
      </c>
      <c r="AH6" s="9">
        <f t="shared" si="11"/>
        <v>0.18762504646488889</v>
      </c>
      <c r="AI6" s="9">
        <f t="shared" si="11"/>
        <v>0.17179906342849999</v>
      </c>
      <c r="AL6" s="8">
        <f t="shared" si="5"/>
        <v>1253.1166747784</v>
      </c>
      <c r="AM6" s="8">
        <f t="shared" si="2"/>
        <v>1467.8090324945999</v>
      </c>
      <c r="AN6" s="8">
        <f t="shared" si="2"/>
        <v>1190.4708804296004</v>
      </c>
      <c r="AO6" s="8">
        <f t="shared" si="2"/>
        <v>1190.4708804296004</v>
      </c>
      <c r="AP6" s="8">
        <f t="shared" si="2"/>
        <v>803.26415273885004</v>
      </c>
      <c r="AQ6" s="8">
        <f t="shared" si="2"/>
        <v>1129.4313884999999</v>
      </c>
      <c r="AR6" s="8">
        <f t="shared" si="2"/>
        <v>928.44279829760012</v>
      </c>
      <c r="AS6" s="8">
        <f t="shared" si="2"/>
        <v>1399.9427552834002</v>
      </c>
      <c r="AT6" s="8">
        <f t="shared" si="2"/>
        <v>638.6979679223042</v>
      </c>
      <c r="AU6" s="8">
        <f t="shared" si="2"/>
        <v>675.45016727360007</v>
      </c>
      <c r="AV6" s="8">
        <f t="shared" si="2"/>
        <v>1717.9906342850002</v>
      </c>
    </row>
    <row r="7" spans="1:48" ht="15.75" x14ac:dyDescent="0.2">
      <c r="A7" s="5" t="s">
        <v>9</v>
      </c>
      <c r="B7" s="5">
        <v>122.3</v>
      </c>
      <c r="C7" s="5">
        <v>30.14</v>
      </c>
      <c r="D7" s="6">
        <v>6.2866999999999997</v>
      </c>
      <c r="E7" s="6">
        <v>152.1866</v>
      </c>
      <c r="F7" s="5">
        <v>1.05</v>
      </c>
      <c r="G7" s="5">
        <v>1.0900000000000001</v>
      </c>
      <c r="H7" s="20">
        <v>6.94</v>
      </c>
      <c r="L7" s="8">
        <f t="shared" ref="L7:V7" si="12">L16*0.4*L22*8760/1000000</f>
        <v>10450.193755820736</v>
      </c>
      <c r="M7" s="8">
        <f t="shared" si="12"/>
        <v>12240.591075707185</v>
      </c>
      <c r="N7" s="8">
        <f t="shared" si="12"/>
        <v>9927.7677901395855</v>
      </c>
      <c r="O7" s="8">
        <f t="shared" si="12"/>
        <v>9927.7677901395855</v>
      </c>
      <c r="P7" s="8">
        <f t="shared" si="12"/>
        <v>6698.7106645202048</v>
      </c>
      <c r="Q7" s="8">
        <f t="shared" si="12"/>
        <v>9418.7373620399994</v>
      </c>
      <c r="R7" s="8">
        <f t="shared" si="12"/>
        <v>7742.6207221463055</v>
      </c>
      <c r="S7" s="8">
        <f t="shared" si="12"/>
        <v>11674.629612885938</v>
      </c>
      <c r="T7" s="8">
        <f t="shared" si="12"/>
        <v>5326.3336531830682</v>
      </c>
      <c r="U7" s="8">
        <f t="shared" si="12"/>
        <v>5632.8235530493439</v>
      </c>
      <c r="V7" s="8">
        <f t="shared" si="12"/>
        <v>14326.946054036402</v>
      </c>
      <c r="Y7" s="9">
        <f>L22*0.4*L16/1000000/Y15</f>
        <v>0.21689899866792731</v>
      </c>
      <c r="Z7" s="9">
        <f t="shared" ref="Z7:AI7" si="13">M22*0.4*M16/1000000/Z15</f>
        <v>0.21365867712055048</v>
      </c>
      <c r="AA7" s="9">
        <f t="shared" si="13"/>
        <v>0.1888844708930667</v>
      </c>
      <c r="AB7" s="9">
        <f t="shared" si="13"/>
        <v>0.16190097505120002</v>
      </c>
      <c r="AC7" s="9">
        <f t="shared" si="13"/>
        <v>0.15082702134771203</v>
      </c>
      <c r="AD7" s="9">
        <f t="shared" si="13"/>
        <v>0.26879958225</v>
      </c>
      <c r="AE7" s="9">
        <f t="shared" si="13"/>
        <v>0.16997323327507693</v>
      </c>
      <c r="AF7" s="9">
        <f t="shared" si="13"/>
        <v>0.16659003443045001</v>
      </c>
      <c r="AG7" s="9">
        <f t="shared" si="13"/>
        <v>0.26436041558383305</v>
      </c>
      <c r="AH7" s="9">
        <f t="shared" si="13"/>
        <v>0.17861566314844449</v>
      </c>
      <c r="AI7" s="9">
        <f t="shared" si="13"/>
        <v>0.16354961248900002</v>
      </c>
      <c r="AL7" s="8">
        <f t="shared" si="5"/>
        <v>1192.9444926735998</v>
      </c>
      <c r="AM7" s="8">
        <f t="shared" si="2"/>
        <v>1397.3277483684001</v>
      </c>
      <c r="AN7" s="8">
        <f t="shared" si="2"/>
        <v>1133.3068253584001</v>
      </c>
      <c r="AO7" s="8">
        <f t="shared" si="2"/>
        <v>1133.3068253584001</v>
      </c>
      <c r="AP7" s="8">
        <f t="shared" si="2"/>
        <v>764.69299823290009</v>
      </c>
      <c r="AQ7" s="8">
        <f t="shared" si="2"/>
        <v>1075.1983290000001</v>
      </c>
      <c r="AR7" s="8">
        <f t="shared" si="2"/>
        <v>883.86081303040021</v>
      </c>
      <c r="AS7" s="8">
        <f t="shared" si="2"/>
        <v>1332.7202754436003</v>
      </c>
      <c r="AT7" s="8">
        <f t="shared" si="2"/>
        <v>608.028955842816</v>
      </c>
      <c r="AU7" s="8">
        <f t="shared" si="2"/>
        <v>643.01638733440006</v>
      </c>
      <c r="AV7" s="8">
        <f t="shared" si="2"/>
        <v>1635.4961248900001</v>
      </c>
    </row>
    <row r="8" spans="1:48" ht="15.75" x14ac:dyDescent="0.2">
      <c r="A8" s="5" t="s">
        <v>77</v>
      </c>
      <c r="B8" s="5">
        <v>122.6</v>
      </c>
      <c r="C8" s="5">
        <v>30.1</v>
      </c>
      <c r="D8" s="6">
        <v>6.5331999999999999</v>
      </c>
      <c r="E8" s="6">
        <v>170.80070000000001</v>
      </c>
      <c r="F8" s="5">
        <v>1.04</v>
      </c>
      <c r="G8" s="5">
        <v>0.9</v>
      </c>
      <c r="H8" s="20">
        <v>11.77</v>
      </c>
      <c r="L8" s="8">
        <f t="shared" ref="L8:V8" si="14">L16*0.4*L23*8760/1000000</f>
        <v>11728.367731651875</v>
      </c>
      <c r="M8" s="8">
        <f t="shared" si="14"/>
        <v>13737.75039421697</v>
      </c>
      <c r="N8" s="8">
        <f t="shared" si="14"/>
        <v>11142.043307316768</v>
      </c>
      <c r="O8" s="8">
        <f t="shared" si="14"/>
        <v>11142.043307316768</v>
      </c>
      <c r="P8" s="8">
        <f t="shared" si="14"/>
        <v>7518.0368744522593</v>
      </c>
      <c r="Q8" s="8">
        <f t="shared" si="14"/>
        <v>10570.752842580001</v>
      </c>
      <c r="R8" s="8">
        <f t="shared" si="14"/>
        <v>8689.6286478382099</v>
      </c>
      <c r="S8" s="8">
        <f t="shared" si="14"/>
        <v>13102.565601187274</v>
      </c>
      <c r="T8" s="8">
        <f t="shared" si="14"/>
        <v>5977.8030154903608</v>
      </c>
      <c r="U8" s="8">
        <f t="shared" si="14"/>
        <v>6321.7800111002889</v>
      </c>
      <c r="V8" s="8">
        <f t="shared" si="14"/>
        <v>16079.289601657803</v>
      </c>
      <c r="Y8" s="9">
        <f>L23*0.4*L16/1000000/Y15</f>
        <v>0.24342813888858189</v>
      </c>
      <c r="Z8" s="9">
        <f t="shared" ref="Z8:AI8" si="15">M23*0.4*M16/1000000/Z15</f>
        <v>0.23979149027091748</v>
      </c>
      <c r="AA8" s="9">
        <f t="shared" si="15"/>
        <v>0.21198712532946673</v>
      </c>
      <c r="AB8" s="9">
        <f t="shared" si="15"/>
        <v>0.18170325028240006</v>
      </c>
      <c r="AC8" s="9">
        <f t="shared" si="15"/>
        <v>0.16927482988058187</v>
      </c>
      <c r="AD8" s="9">
        <f t="shared" si="15"/>
        <v>0.30167673637500003</v>
      </c>
      <c r="AE8" s="9">
        <f t="shared" si="15"/>
        <v>0.19076283473476927</v>
      </c>
      <c r="AF8" s="9">
        <f t="shared" si="15"/>
        <v>0.18696583335027503</v>
      </c>
      <c r="AG8" s="9">
        <f t="shared" si="15"/>
        <v>0.29669461065566621</v>
      </c>
      <c r="AH8" s="9">
        <f t="shared" si="15"/>
        <v>0.20046232911911116</v>
      </c>
      <c r="AI8" s="9">
        <f t="shared" si="15"/>
        <v>0.18355353426550003</v>
      </c>
      <c r="AL8" s="8">
        <f t="shared" si="5"/>
        <v>1338.8547638872003</v>
      </c>
      <c r="AM8" s="8">
        <f t="shared" si="2"/>
        <v>1568.2363463718</v>
      </c>
      <c r="AN8" s="8">
        <f t="shared" si="2"/>
        <v>1271.9227519767999</v>
      </c>
      <c r="AO8" s="8">
        <f t="shared" si="2"/>
        <v>1271.9227519767999</v>
      </c>
      <c r="AP8" s="8">
        <f t="shared" si="2"/>
        <v>858.22338749455014</v>
      </c>
      <c r="AQ8" s="8">
        <f t="shared" si="2"/>
        <v>1206.7069455000001</v>
      </c>
      <c r="AR8" s="8">
        <f t="shared" si="2"/>
        <v>991.96674062080024</v>
      </c>
      <c r="AS8" s="8">
        <f t="shared" si="2"/>
        <v>1495.7266668022003</v>
      </c>
      <c r="AT8" s="8">
        <f t="shared" si="2"/>
        <v>682.39760450803215</v>
      </c>
      <c r="AU8" s="8">
        <f t="shared" si="2"/>
        <v>721.66438482880017</v>
      </c>
      <c r="AV8" s="8">
        <f t="shared" si="2"/>
        <v>1835.5353426550002</v>
      </c>
    </row>
    <row r="9" spans="1:48" ht="15.75" x14ac:dyDescent="0.2">
      <c r="A9" s="5" t="s">
        <v>10</v>
      </c>
      <c r="B9" s="5">
        <v>122.8</v>
      </c>
      <c r="C9" s="5">
        <v>30.16</v>
      </c>
      <c r="D9" s="6">
        <v>6.5799000000000003</v>
      </c>
      <c r="E9" s="6">
        <v>174.48949999999999</v>
      </c>
      <c r="F9" s="5">
        <v>1.03</v>
      </c>
      <c r="G9" s="5">
        <v>0.91</v>
      </c>
      <c r="H9" s="20">
        <v>4.4400000000000004</v>
      </c>
      <c r="L9" s="8">
        <f t="shared" ref="L9:V9" si="16">L16*0.4*L24*8760/1000000</f>
        <v>11981.66647626192</v>
      </c>
      <c r="M9" s="8">
        <f t="shared" si="16"/>
        <v>14034.445979505479</v>
      </c>
      <c r="N9" s="8">
        <f t="shared" si="16"/>
        <v>11382.67914400848</v>
      </c>
      <c r="O9" s="8">
        <f t="shared" si="16"/>
        <v>11382.67914400848</v>
      </c>
      <c r="P9" s="8">
        <f t="shared" si="16"/>
        <v>7680.4046775261295</v>
      </c>
      <c r="Q9" s="8">
        <f t="shared" si="16"/>
        <v>10799.050461299999</v>
      </c>
      <c r="R9" s="8">
        <f t="shared" si="16"/>
        <v>8877.2994369868793</v>
      </c>
      <c r="S9" s="8">
        <f t="shared" si="16"/>
        <v>13385.543036230922</v>
      </c>
      <c r="T9" s="8">
        <f t="shared" si="16"/>
        <v>6106.9062320669955</v>
      </c>
      <c r="U9" s="8">
        <f t="shared" si="16"/>
        <v>6458.3121336556806</v>
      </c>
      <c r="V9" s="8">
        <f t="shared" si="16"/>
        <v>16426.555646133002</v>
      </c>
      <c r="Y9" s="9">
        <f>L24*0.4*L16/1000000/Y15</f>
        <v>0.24868548103490912</v>
      </c>
      <c r="Z9" s="9">
        <f t="shared" ref="Z9:AI9" si="17">M24*0.4*M16/1000000/Z15</f>
        <v>0.24497029134908258</v>
      </c>
      <c r="AA9" s="9">
        <f t="shared" si="17"/>
        <v>0.21656543272466666</v>
      </c>
      <c r="AB9" s="9">
        <f t="shared" si="17"/>
        <v>0.185627513764</v>
      </c>
      <c r="AC9" s="9">
        <f t="shared" si="17"/>
        <v>0.17293067550922092</v>
      </c>
      <c r="AD9" s="9">
        <f t="shared" si="17"/>
        <v>0.30819207937499998</v>
      </c>
      <c r="AE9" s="9">
        <f t="shared" si="17"/>
        <v>0.19488275897846155</v>
      </c>
      <c r="AF9" s="9">
        <f t="shared" si="17"/>
        <v>0.19100375337087502</v>
      </c>
      <c r="AG9" s="9">
        <f t="shared" si="17"/>
        <v>0.30310235418240006</v>
      </c>
      <c r="AH9" s="9">
        <f t="shared" si="17"/>
        <v>0.20479173432444445</v>
      </c>
      <c r="AI9" s="9">
        <f t="shared" si="17"/>
        <v>0.18751775851749999</v>
      </c>
      <c r="AL9" s="8">
        <f t="shared" si="5"/>
        <v>1367.7701456919999</v>
      </c>
      <c r="AM9" s="8">
        <f t="shared" si="2"/>
        <v>1602.105705423</v>
      </c>
      <c r="AN9" s="8">
        <f t="shared" si="2"/>
        <v>1299.3925963479999</v>
      </c>
      <c r="AO9" s="8">
        <f t="shared" si="2"/>
        <v>1299.3925963479999</v>
      </c>
      <c r="AP9" s="8">
        <f t="shared" si="2"/>
        <v>876.75852483175004</v>
      </c>
      <c r="AQ9" s="8">
        <f t="shared" si="2"/>
        <v>1232.7683175</v>
      </c>
      <c r="AR9" s="8">
        <f t="shared" si="2"/>
        <v>1013.3903466879999</v>
      </c>
      <c r="AS9" s="8">
        <f t="shared" si="2"/>
        <v>1528.0300269670001</v>
      </c>
      <c r="AT9" s="8">
        <f t="shared" si="2"/>
        <v>697.13541461952002</v>
      </c>
      <c r="AU9" s="8">
        <f t="shared" si="2"/>
        <v>737.25024356800009</v>
      </c>
      <c r="AV9" s="8">
        <f t="shared" si="2"/>
        <v>1875.1775851750001</v>
      </c>
    </row>
    <row r="10" spans="1:48" ht="15.75" x14ac:dyDescent="0.2">
      <c r="A10" s="5" t="s">
        <v>11</v>
      </c>
      <c r="B10" s="5">
        <v>122.7</v>
      </c>
      <c r="C10" s="5">
        <v>30.24</v>
      </c>
      <c r="D10" s="6">
        <v>6.4984000000000002</v>
      </c>
      <c r="E10" s="6">
        <v>168.083</v>
      </c>
      <c r="F10" s="5">
        <v>1.04</v>
      </c>
      <c r="G10" s="5">
        <v>0.9</v>
      </c>
      <c r="H10" s="20">
        <v>4.45</v>
      </c>
      <c r="L10" s="8">
        <f>L16*0.4*L25*8760/1000000</f>
        <v>11541.751488367681</v>
      </c>
      <c r="M10" s="8">
        <f t="shared" ref="M10:V10" si="18">M16*0.4*M25*8760/1000000</f>
        <v>13519.161803851923</v>
      </c>
      <c r="N10" s="8">
        <f t="shared" si="18"/>
        <v>10964.756381113921</v>
      </c>
      <c r="O10" s="8">
        <f t="shared" si="18"/>
        <v>10964.756381113921</v>
      </c>
      <c r="P10" s="8">
        <f t="shared" si="18"/>
        <v>7398.4134255220206</v>
      </c>
      <c r="Q10" s="8">
        <f t="shared" si="18"/>
        <v>10402.556020200002</v>
      </c>
      <c r="R10" s="8">
        <f t="shared" si="18"/>
        <v>8551.3633844275209</v>
      </c>
      <c r="S10" s="8">
        <f t="shared" si="18"/>
        <v>12894.08377099368</v>
      </c>
      <c r="T10" s="8">
        <f t="shared" si="18"/>
        <v>5882.6870396471822</v>
      </c>
      <c r="U10" s="8">
        <f t="shared" si="18"/>
        <v>6221.1908359027202</v>
      </c>
      <c r="V10" s="8">
        <f t="shared" si="18"/>
        <v>15823.443546282004</v>
      </c>
      <c r="Y10" s="9">
        <f>L25*0.4*L16/1000000/Y15</f>
        <v>0.23955482541236367</v>
      </c>
      <c r="Z10" s="9">
        <f t="shared" ref="Z10:AI10" si="19">M25*0.4*M16/1000000/Z15</f>
        <v>0.23597604142844039</v>
      </c>
      <c r="AA10" s="9">
        <f t="shared" si="19"/>
        <v>0.20861408639866666</v>
      </c>
      <c r="AB10" s="9">
        <f t="shared" si="19"/>
        <v>0.178812074056</v>
      </c>
      <c r="AC10" s="9">
        <f t="shared" si="19"/>
        <v>0.16658140880463509</v>
      </c>
      <c r="AD10" s="9">
        <f t="shared" si="19"/>
        <v>0.29687659875</v>
      </c>
      <c r="AE10" s="9">
        <f t="shared" si="19"/>
        <v>0.18772750668307692</v>
      </c>
      <c r="AF10" s="9">
        <f t="shared" si="19"/>
        <v>0.18399092138975001</v>
      </c>
      <c r="AG10" s="9">
        <f t="shared" si="19"/>
        <v>0.29197374626003481</v>
      </c>
      <c r="AH10" s="9">
        <f t="shared" si="19"/>
        <v>0.19727266729777776</v>
      </c>
      <c r="AI10" s="9">
        <f t="shared" si="19"/>
        <v>0.18063291719499999</v>
      </c>
      <c r="AL10" s="8">
        <f t="shared" si="5"/>
        <v>1317.5515397680001</v>
      </c>
      <c r="AM10" s="8">
        <f t="shared" si="2"/>
        <v>1543.2833109420003</v>
      </c>
      <c r="AN10" s="8">
        <f t="shared" si="2"/>
        <v>1251.684518392</v>
      </c>
      <c r="AO10" s="8">
        <f t="shared" si="2"/>
        <v>1251.684518392</v>
      </c>
      <c r="AP10" s="8">
        <f t="shared" si="2"/>
        <v>844.56774263950012</v>
      </c>
      <c r="AQ10" s="8">
        <f t="shared" si="2"/>
        <v>1187.5063950000001</v>
      </c>
      <c r="AR10" s="8">
        <f t="shared" si="2"/>
        <v>976.18303475200003</v>
      </c>
      <c r="AS10" s="8">
        <f t="shared" si="2"/>
        <v>1471.9273711180001</v>
      </c>
      <c r="AT10" s="8">
        <f t="shared" si="2"/>
        <v>671.53961639808017</v>
      </c>
      <c r="AU10" s="8">
        <f t="shared" si="2"/>
        <v>710.18160227199996</v>
      </c>
      <c r="AV10" s="8">
        <f t="shared" si="2"/>
        <v>1806.3291719500005</v>
      </c>
    </row>
    <row r="11" spans="1:48" ht="16.5" thickBot="1" x14ac:dyDescent="0.25">
      <c r="A11" s="5" t="s">
        <v>78</v>
      </c>
      <c r="B11" s="5">
        <v>122.5</v>
      </c>
      <c r="C11" s="5">
        <v>30.42</v>
      </c>
      <c r="D11" s="6">
        <v>6.3802000000000003</v>
      </c>
      <c r="E11" s="6">
        <v>159.0779</v>
      </c>
      <c r="F11" s="5">
        <v>1.05</v>
      </c>
      <c r="G11" s="5">
        <v>1.04</v>
      </c>
      <c r="H11" s="21">
        <v>1.92</v>
      </c>
      <c r="L11" s="8">
        <f>L16*0.4*L26*8760/1000000</f>
        <v>10923.398494145185</v>
      </c>
      <c r="M11" s="8">
        <f t="shared" ref="M11:V11" si="20">M16*0.4*M26*8760/1000000</f>
        <v>12794.868425224297</v>
      </c>
      <c r="N11" s="8">
        <f t="shared" si="20"/>
        <v>10377.316082644895</v>
      </c>
      <c r="O11" s="8">
        <f t="shared" si="20"/>
        <v>10377.316082644895</v>
      </c>
      <c r="P11" s="8">
        <f t="shared" si="20"/>
        <v>7002.0410812744267</v>
      </c>
      <c r="Q11" s="8">
        <f t="shared" si="20"/>
        <v>9845.2357842599995</v>
      </c>
      <c r="R11" s="8">
        <f t="shared" si="20"/>
        <v>8093.2213806965774</v>
      </c>
      <c r="S11" s="8">
        <f t="shared" si="20"/>
        <v>12203.279146098983</v>
      </c>
      <c r="T11" s="8">
        <f t="shared" si="20"/>
        <v>5567.5202169421673</v>
      </c>
      <c r="U11" s="8">
        <f t="shared" si="20"/>
        <v>5887.8885650223374</v>
      </c>
      <c r="V11" s="8">
        <f t="shared" si="20"/>
        <v>14975.697542946602</v>
      </c>
      <c r="Y11" s="9">
        <f>L26*0.4*L16/1000000/Y15</f>
        <v>0.22672059971243638</v>
      </c>
      <c r="Z11" s="9">
        <f t="shared" ref="Z11:AI11" si="21">M26*0.4*M16/1000000/Z15</f>
        <v>0.22333355021477067</v>
      </c>
      <c r="AA11" s="9">
        <f t="shared" si="21"/>
        <v>0.19743752059826669</v>
      </c>
      <c r="AB11" s="9">
        <f t="shared" si="21"/>
        <v>0.16923216051280002</v>
      </c>
      <c r="AC11" s="9">
        <f t="shared" si="21"/>
        <v>0.15765675702886586</v>
      </c>
      <c r="AD11" s="9">
        <f t="shared" si="21"/>
        <v>0.28097134087499998</v>
      </c>
      <c r="AE11" s="9">
        <f t="shared" si="21"/>
        <v>0.17766994601107691</v>
      </c>
      <c r="AF11" s="9">
        <f t="shared" si="21"/>
        <v>0.174133549459175</v>
      </c>
      <c r="AG11" s="9">
        <f t="shared" si="21"/>
        <v>0.27633116026117571</v>
      </c>
      <c r="AH11" s="9">
        <f t="shared" si="21"/>
        <v>0.18670372162044446</v>
      </c>
      <c r="AI11" s="9">
        <f t="shared" si="21"/>
        <v>0.17095545140349999</v>
      </c>
      <c r="AL11" s="8">
        <f t="shared" si="5"/>
        <v>1246.9632984184002</v>
      </c>
      <c r="AM11" s="8">
        <f t="shared" si="2"/>
        <v>1460.6014184046001</v>
      </c>
      <c r="AN11" s="8">
        <f t="shared" si="2"/>
        <v>1184.6251235896</v>
      </c>
      <c r="AO11" s="8">
        <f t="shared" si="2"/>
        <v>1184.6251235896</v>
      </c>
      <c r="AP11" s="8">
        <f t="shared" si="2"/>
        <v>799.31975813635006</v>
      </c>
      <c r="AQ11" s="8">
        <f t="shared" si="2"/>
        <v>1123.8853634999998</v>
      </c>
      <c r="AR11" s="8">
        <f t="shared" si="2"/>
        <v>923.88371925760021</v>
      </c>
      <c r="AS11" s="8">
        <f t="shared" si="2"/>
        <v>1393.0683956733999</v>
      </c>
      <c r="AT11" s="8">
        <f t="shared" si="2"/>
        <v>635.56166860070402</v>
      </c>
      <c r="AU11" s="8">
        <f t="shared" si="2"/>
        <v>672.13339783360016</v>
      </c>
      <c r="AV11" s="8">
        <f t="shared" si="2"/>
        <v>1709.5545140350002</v>
      </c>
    </row>
    <row r="12" spans="1:48" x14ac:dyDescent="0.2"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48" x14ac:dyDescent="0.2"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48" x14ac:dyDescent="0.2"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48" x14ac:dyDescent="0.2">
      <c r="K15" s="7" t="s">
        <v>64</v>
      </c>
      <c r="L15" s="5">
        <v>158</v>
      </c>
      <c r="M15" s="5">
        <v>171</v>
      </c>
      <c r="N15" s="5">
        <v>154</v>
      </c>
      <c r="O15" s="5">
        <v>154</v>
      </c>
      <c r="P15" s="5">
        <v>126.5</v>
      </c>
      <c r="Q15" s="5">
        <v>150</v>
      </c>
      <c r="R15" s="5">
        <v>136</v>
      </c>
      <c r="S15" s="5">
        <v>167</v>
      </c>
      <c r="T15" s="5">
        <v>112.8</v>
      </c>
      <c r="U15" s="5">
        <v>116</v>
      </c>
      <c r="V15" s="5">
        <v>185</v>
      </c>
      <c r="X15" s="4" t="s">
        <v>80</v>
      </c>
      <c r="Y15" s="5">
        <v>5.5</v>
      </c>
      <c r="Z15" s="5">
        <v>6.54</v>
      </c>
      <c r="AA15" s="5">
        <v>6</v>
      </c>
      <c r="AB15" s="5">
        <v>7</v>
      </c>
      <c r="AC15" s="5">
        <v>5.07</v>
      </c>
      <c r="AD15" s="5">
        <v>4</v>
      </c>
      <c r="AE15" s="5">
        <v>5.2</v>
      </c>
      <c r="AF15" s="5">
        <v>8</v>
      </c>
      <c r="AG15" s="5">
        <v>2.2999999999999998</v>
      </c>
      <c r="AH15" s="5">
        <v>3.6</v>
      </c>
      <c r="AI15" s="5">
        <v>10</v>
      </c>
    </row>
    <row r="16" spans="1:48" x14ac:dyDescent="0.2">
      <c r="K16" s="5" t="s">
        <v>65</v>
      </c>
      <c r="L16" s="5">
        <f>3.14*(L15/2)^2</f>
        <v>19596.740000000002</v>
      </c>
      <c r="M16" s="5">
        <f t="shared" ref="M16:V16" si="22">3.14*(M15/2)^2</f>
        <v>22954.185000000001</v>
      </c>
      <c r="N16" s="5">
        <f t="shared" si="22"/>
        <v>18617.060000000001</v>
      </c>
      <c r="O16" s="5">
        <f t="shared" si="22"/>
        <v>18617.060000000001</v>
      </c>
      <c r="P16" s="5">
        <f t="shared" si="22"/>
        <v>12561.766250000001</v>
      </c>
      <c r="Q16" s="5">
        <f t="shared" si="22"/>
        <v>17662.5</v>
      </c>
      <c r="R16" s="5">
        <f t="shared" si="22"/>
        <v>14519.36</v>
      </c>
      <c r="S16" s="5">
        <f t="shared" si="22"/>
        <v>21892.865000000002</v>
      </c>
      <c r="T16" s="5">
        <f t="shared" si="22"/>
        <v>9988.2144000000008</v>
      </c>
      <c r="U16" s="5">
        <f t="shared" si="22"/>
        <v>10562.960000000001</v>
      </c>
      <c r="V16" s="5">
        <f t="shared" si="22"/>
        <v>26866.625</v>
      </c>
    </row>
    <row r="17" spans="2:22" x14ac:dyDescent="0.2">
      <c r="K17" s="5" t="s">
        <v>67</v>
      </c>
      <c r="L17" s="6">
        <v>166.8408</v>
      </c>
      <c r="M17" s="6">
        <v>166.8408</v>
      </c>
      <c r="N17" s="6">
        <v>166.8408</v>
      </c>
      <c r="O17" s="6">
        <v>166.8408</v>
      </c>
      <c r="P17" s="6">
        <v>166.8408</v>
      </c>
      <c r="Q17" s="6">
        <v>166.8408</v>
      </c>
      <c r="R17" s="6">
        <v>166.8408</v>
      </c>
      <c r="S17" s="6">
        <v>166.8408</v>
      </c>
      <c r="T17" s="6">
        <v>166.8408</v>
      </c>
      <c r="U17" s="6">
        <v>166.8408</v>
      </c>
      <c r="V17" s="6">
        <v>166.8408</v>
      </c>
    </row>
    <row r="18" spans="2:22" x14ac:dyDescent="0.2">
      <c r="B18" s="7"/>
      <c r="K18" s="5" t="s">
        <v>68</v>
      </c>
      <c r="L18" s="6">
        <v>171.43270000000001</v>
      </c>
      <c r="M18" s="6">
        <v>171.43270000000001</v>
      </c>
      <c r="N18" s="6">
        <v>171.43270000000001</v>
      </c>
      <c r="O18" s="6">
        <v>171.43270000000001</v>
      </c>
      <c r="P18" s="6">
        <v>171.43270000000001</v>
      </c>
      <c r="Q18" s="6">
        <v>171.43270000000001</v>
      </c>
      <c r="R18" s="6">
        <v>171.43270000000001</v>
      </c>
      <c r="S18" s="6">
        <v>171.43270000000001</v>
      </c>
      <c r="T18" s="6">
        <v>171.43270000000001</v>
      </c>
      <c r="U18" s="6">
        <v>171.43270000000001</v>
      </c>
      <c r="V18" s="6">
        <v>171.43270000000001</v>
      </c>
    </row>
    <row r="19" spans="2:22" x14ac:dyDescent="0.2">
      <c r="K19" s="5" t="s">
        <v>69</v>
      </c>
      <c r="L19" s="6">
        <v>173.72669999999999</v>
      </c>
      <c r="M19" s="6">
        <v>173.72669999999999</v>
      </c>
      <c r="N19" s="6">
        <v>173.72669999999999</v>
      </c>
      <c r="O19" s="6">
        <v>173.72669999999999</v>
      </c>
      <c r="P19" s="6">
        <v>173.72669999999999</v>
      </c>
      <c r="Q19" s="6">
        <v>173.72669999999999</v>
      </c>
      <c r="R19" s="6">
        <v>173.72669999999999</v>
      </c>
      <c r="S19" s="6">
        <v>173.72669999999999</v>
      </c>
      <c r="T19" s="6">
        <v>173.72669999999999</v>
      </c>
      <c r="U19" s="6">
        <v>173.72669999999999</v>
      </c>
      <c r="V19" s="6">
        <v>173.72669999999999</v>
      </c>
    </row>
    <row r="20" spans="2:22" x14ac:dyDescent="0.2">
      <c r="K20" s="5" t="s">
        <v>70</v>
      </c>
      <c r="L20" s="6">
        <v>172.0753</v>
      </c>
      <c r="M20" s="6">
        <v>172.0753</v>
      </c>
      <c r="N20" s="6">
        <v>172.0753</v>
      </c>
      <c r="O20" s="6">
        <v>172.0753</v>
      </c>
      <c r="P20" s="6">
        <v>172.0753</v>
      </c>
      <c r="Q20" s="6">
        <v>172.0753</v>
      </c>
      <c r="R20" s="6">
        <v>172.0753</v>
      </c>
      <c r="S20" s="6">
        <v>172.0753</v>
      </c>
      <c r="T20" s="6">
        <v>172.0753</v>
      </c>
      <c r="U20" s="6">
        <v>172.0753</v>
      </c>
      <c r="V20" s="6">
        <v>172.0753</v>
      </c>
    </row>
    <row r="21" spans="2:22" x14ac:dyDescent="0.2">
      <c r="K21" s="5" t="s">
        <v>71</v>
      </c>
      <c r="L21" s="6">
        <v>159.8629</v>
      </c>
      <c r="M21" s="6">
        <v>159.8629</v>
      </c>
      <c r="N21" s="6">
        <v>159.8629</v>
      </c>
      <c r="O21" s="6">
        <v>159.8629</v>
      </c>
      <c r="P21" s="6">
        <v>159.8629</v>
      </c>
      <c r="Q21" s="6">
        <v>159.8629</v>
      </c>
      <c r="R21" s="6">
        <v>159.8629</v>
      </c>
      <c r="S21" s="6">
        <v>159.8629</v>
      </c>
      <c r="T21" s="6">
        <v>159.8629</v>
      </c>
      <c r="U21" s="6">
        <v>159.8629</v>
      </c>
      <c r="V21" s="6">
        <v>159.8629</v>
      </c>
    </row>
    <row r="22" spans="2:22" x14ac:dyDescent="0.2">
      <c r="K22" s="5" t="s">
        <v>72</v>
      </c>
      <c r="L22" s="6">
        <v>152.1866</v>
      </c>
      <c r="M22" s="6">
        <v>152.1866</v>
      </c>
      <c r="N22" s="6">
        <v>152.1866</v>
      </c>
      <c r="O22" s="6">
        <v>152.1866</v>
      </c>
      <c r="P22" s="6">
        <v>152.1866</v>
      </c>
      <c r="Q22" s="6">
        <v>152.1866</v>
      </c>
      <c r="R22" s="6">
        <v>152.1866</v>
      </c>
      <c r="S22" s="6">
        <v>152.1866</v>
      </c>
      <c r="T22" s="6">
        <v>152.1866</v>
      </c>
      <c r="U22" s="6">
        <v>152.1866</v>
      </c>
      <c r="V22" s="6">
        <v>152.1866</v>
      </c>
    </row>
    <row r="23" spans="2:22" x14ac:dyDescent="0.2">
      <c r="K23" s="5" t="s">
        <v>73</v>
      </c>
      <c r="L23" s="6">
        <v>170.80070000000001</v>
      </c>
      <c r="M23" s="6">
        <v>170.80070000000001</v>
      </c>
      <c r="N23" s="6">
        <v>170.80070000000001</v>
      </c>
      <c r="O23" s="6">
        <v>170.80070000000001</v>
      </c>
      <c r="P23" s="6">
        <v>170.80070000000001</v>
      </c>
      <c r="Q23" s="6">
        <v>170.80070000000001</v>
      </c>
      <c r="R23" s="6">
        <v>170.80070000000001</v>
      </c>
      <c r="S23" s="6">
        <v>170.80070000000001</v>
      </c>
      <c r="T23" s="6">
        <v>170.80070000000001</v>
      </c>
      <c r="U23" s="6">
        <v>170.80070000000001</v>
      </c>
      <c r="V23" s="6">
        <v>170.80070000000001</v>
      </c>
    </row>
    <row r="24" spans="2:22" x14ac:dyDescent="0.2">
      <c r="K24" s="5" t="s">
        <v>74</v>
      </c>
      <c r="L24" s="6">
        <v>174.48949999999999</v>
      </c>
      <c r="M24" s="6">
        <v>174.48949999999999</v>
      </c>
      <c r="N24" s="6">
        <v>174.48949999999999</v>
      </c>
      <c r="O24" s="6">
        <v>174.48949999999999</v>
      </c>
      <c r="P24" s="6">
        <v>174.48949999999999</v>
      </c>
      <c r="Q24" s="6">
        <v>174.48949999999999</v>
      </c>
      <c r="R24" s="6">
        <v>174.48949999999999</v>
      </c>
      <c r="S24" s="6">
        <v>174.48949999999999</v>
      </c>
      <c r="T24" s="6">
        <v>174.48949999999999</v>
      </c>
      <c r="U24" s="6">
        <v>174.48949999999999</v>
      </c>
      <c r="V24" s="6">
        <v>174.48949999999999</v>
      </c>
    </row>
    <row r="25" spans="2:22" x14ac:dyDescent="0.2">
      <c r="K25" s="5" t="s">
        <v>75</v>
      </c>
      <c r="L25" s="6">
        <v>168.083</v>
      </c>
      <c r="M25" s="6">
        <v>168.083</v>
      </c>
      <c r="N25" s="6">
        <v>168.083</v>
      </c>
      <c r="O25" s="6">
        <v>168.083</v>
      </c>
      <c r="P25" s="6">
        <v>168.083</v>
      </c>
      <c r="Q25" s="6">
        <v>168.083</v>
      </c>
      <c r="R25" s="6">
        <v>168.083</v>
      </c>
      <c r="S25" s="6">
        <v>168.083</v>
      </c>
      <c r="T25" s="6">
        <v>168.083</v>
      </c>
      <c r="U25" s="6">
        <v>168.083</v>
      </c>
      <c r="V25" s="6">
        <v>168.083</v>
      </c>
    </row>
    <row r="26" spans="2:22" x14ac:dyDescent="0.2">
      <c r="K26" s="5" t="s">
        <v>76</v>
      </c>
      <c r="L26" s="6">
        <v>159.0779</v>
      </c>
      <c r="M26" s="6">
        <v>159.0779</v>
      </c>
      <c r="N26" s="6">
        <v>159.0779</v>
      </c>
      <c r="O26" s="6">
        <v>159.0779</v>
      </c>
      <c r="P26" s="6">
        <v>159.0779</v>
      </c>
      <c r="Q26" s="6">
        <v>159.0779</v>
      </c>
      <c r="R26" s="6">
        <v>159.0779</v>
      </c>
      <c r="S26" s="6">
        <v>159.0779</v>
      </c>
      <c r="T26" s="6">
        <v>159.0779</v>
      </c>
      <c r="U26" s="6">
        <v>159.0779</v>
      </c>
      <c r="V26" s="6">
        <v>159.0779</v>
      </c>
    </row>
  </sheetData>
  <sortState ref="A2:J11">
    <sortCondition ref="A2:A1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48"/>
  <sheetViews>
    <sheetView topLeftCell="C1" zoomScale="70" zoomScaleNormal="70" workbookViewId="0">
      <selection activeCell="M46" sqref="M46"/>
    </sheetView>
  </sheetViews>
  <sheetFormatPr defaultColWidth="8.625" defaultRowHeight="14.25" x14ac:dyDescent="0.2"/>
  <cols>
    <col min="1" max="1" width="8.625" style="5"/>
    <col min="2" max="3" width="16.875" style="5" customWidth="1"/>
    <col min="4" max="4" width="19.875" style="5" customWidth="1"/>
    <col min="5" max="5" width="11.75" style="5" customWidth="1"/>
    <col min="6" max="6" width="14.625" style="5" customWidth="1"/>
    <col min="7" max="7" width="16.125" style="5" customWidth="1"/>
    <col min="8" max="8" width="9" style="6" customWidth="1"/>
    <col min="9" max="11" width="10.75" customWidth="1"/>
    <col min="12" max="12" width="14.25" style="5" customWidth="1"/>
    <col min="13" max="13" width="11.75" style="5" customWidth="1"/>
    <col min="14" max="14" width="12.125" style="5" customWidth="1"/>
    <col min="15" max="15" width="11.875" style="5" customWidth="1"/>
    <col min="16" max="16" width="12" style="5" customWidth="1"/>
    <col min="17" max="17" width="13" style="5" customWidth="1"/>
    <col min="18" max="18" width="8.625" style="5"/>
    <col min="19" max="19" width="10.125" style="5" customWidth="1"/>
    <col min="20" max="21" width="10.25" style="5" customWidth="1"/>
    <col min="22" max="30" width="8.625" style="5"/>
    <col min="31" max="31" width="14.125" style="5" customWidth="1"/>
    <col min="32" max="32" width="13.625" style="5" customWidth="1"/>
    <col min="33" max="33" width="8.625" style="5"/>
    <col min="34" max="34" width="10.375" style="5" customWidth="1"/>
    <col min="35" max="35" width="18.875" style="10" customWidth="1"/>
    <col min="36" max="36" width="12.625" style="5" customWidth="1"/>
    <col min="37" max="37" width="11.25" style="5" customWidth="1"/>
    <col min="38" max="38" width="11.875" style="5" customWidth="1"/>
    <col min="39" max="39" width="8.625" style="5"/>
    <col min="40" max="42" width="10.75" customWidth="1"/>
    <col min="43" max="43" width="16.5" style="5" customWidth="1"/>
    <col min="44" max="44" width="12.625" style="5" customWidth="1"/>
    <col min="45" max="45" width="12.75" style="5" customWidth="1"/>
    <col min="46" max="46" width="13.125" style="5" customWidth="1"/>
    <col min="47" max="47" width="12.375" style="5" customWidth="1"/>
    <col min="48" max="48" width="11.125" style="5" customWidth="1"/>
    <col min="49" max="49" width="8.625" style="5" customWidth="1"/>
    <col min="50" max="50" width="11.875" style="5" customWidth="1"/>
    <col min="51" max="51" width="11.125" style="5" customWidth="1"/>
    <col min="52" max="52" width="15" style="5" customWidth="1"/>
    <col min="53" max="53" width="13" style="5" customWidth="1"/>
    <col min="54" max="54" width="11.25" style="5" customWidth="1"/>
    <col min="55" max="55" width="12.125" style="5" customWidth="1"/>
    <col min="56" max="56" width="13.125" style="5" customWidth="1"/>
    <col min="57" max="57" width="14.25" style="5" customWidth="1"/>
    <col min="58" max="58" width="8.625" style="5"/>
    <col min="59" max="59" width="12" style="5" customWidth="1"/>
    <col min="60" max="60" width="13" style="5" customWidth="1"/>
    <col min="61" max="61" width="8.625" style="5"/>
    <col min="62" max="62" width="12.125" style="5" customWidth="1"/>
    <col min="63" max="63" width="13.5" style="5" customWidth="1"/>
    <col min="64" max="64" width="13" style="5" customWidth="1"/>
    <col min="65" max="65" width="15.375" style="5" customWidth="1"/>
    <col min="66" max="66" width="14.75" style="5" customWidth="1"/>
    <col min="67" max="67" width="8.625" style="5"/>
    <col min="68" max="68" width="11.375" style="5" customWidth="1"/>
    <col min="69" max="69" width="11.125" style="5" customWidth="1"/>
    <col min="70" max="70" width="8.625" style="5"/>
    <col min="71" max="71" width="16.375" style="5" customWidth="1"/>
    <col min="72" max="77" width="8.625" style="5"/>
    <col min="78" max="78" width="10.125" style="5" customWidth="1"/>
    <col min="79" max="79" width="14" style="5" customWidth="1"/>
    <col min="80" max="80" width="13.375" style="5" customWidth="1"/>
    <col min="81" max="81" width="14" style="5" customWidth="1"/>
    <col min="82" max="16384" width="8.625" style="5"/>
  </cols>
  <sheetData>
    <row r="1" spans="1:100" ht="32.25" thickBot="1" x14ac:dyDescent="0.3">
      <c r="A1" s="5" t="s">
        <v>0</v>
      </c>
      <c r="B1" s="5" t="s">
        <v>84</v>
      </c>
      <c r="C1" s="4" t="s">
        <v>85</v>
      </c>
      <c r="D1" s="5" t="s">
        <v>90</v>
      </c>
      <c r="E1" s="5" t="s">
        <v>88</v>
      </c>
      <c r="F1" s="5" t="s">
        <v>87</v>
      </c>
      <c r="G1" s="5" t="s">
        <v>86</v>
      </c>
      <c r="H1" s="6" t="s">
        <v>89</v>
      </c>
      <c r="I1" s="5" t="s">
        <v>95</v>
      </c>
      <c r="J1" s="5" t="s">
        <v>237</v>
      </c>
      <c r="K1" s="69" t="s">
        <v>238</v>
      </c>
      <c r="L1" s="5" t="s">
        <v>66</v>
      </c>
      <c r="M1" s="5" t="s">
        <v>53</v>
      </c>
      <c r="N1" s="5" t="s">
        <v>54</v>
      </c>
      <c r="O1" s="13" t="s">
        <v>179</v>
      </c>
      <c r="P1" s="13" t="s">
        <v>182</v>
      </c>
      <c r="Q1" s="13" t="s">
        <v>185</v>
      </c>
      <c r="R1" s="13" t="s">
        <v>186</v>
      </c>
      <c r="S1" s="5" t="s">
        <v>61</v>
      </c>
      <c r="T1" s="5" t="s">
        <v>92</v>
      </c>
      <c r="U1" s="5" t="s">
        <v>199</v>
      </c>
      <c r="W1" s="5" t="s">
        <v>116</v>
      </c>
      <c r="X1" s="5" t="s">
        <v>53</v>
      </c>
      <c r="Y1" s="5" t="s">
        <v>54</v>
      </c>
      <c r="Z1" s="13" t="s">
        <v>179</v>
      </c>
      <c r="AA1" s="13" t="s">
        <v>182</v>
      </c>
      <c r="AB1" s="13" t="s">
        <v>185</v>
      </c>
      <c r="AC1" s="14" t="s">
        <v>186</v>
      </c>
      <c r="AD1" s="5" t="s">
        <v>61</v>
      </c>
      <c r="AE1" s="5" t="s">
        <v>92</v>
      </c>
      <c r="AF1" s="5" t="s">
        <v>200</v>
      </c>
      <c r="AH1" s="5" t="s">
        <v>91</v>
      </c>
      <c r="AI1" s="10" t="s">
        <v>93</v>
      </c>
      <c r="AJ1" s="5" t="s">
        <v>88</v>
      </c>
      <c r="AK1" s="5" t="s">
        <v>87</v>
      </c>
      <c r="AL1" s="5" t="s">
        <v>86</v>
      </c>
      <c r="AM1" s="5" t="s">
        <v>89</v>
      </c>
      <c r="AN1" s="5" t="s">
        <v>95</v>
      </c>
      <c r="AO1" s="5" t="s">
        <v>237</v>
      </c>
      <c r="AP1" s="5" t="s">
        <v>239</v>
      </c>
      <c r="AQ1" s="5" t="s">
        <v>201</v>
      </c>
      <c r="AR1" s="5" t="s">
        <v>53</v>
      </c>
      <c r="AS1" s="5" t="s">
        <v>54</v>
      </c>
      <c r="AT1" s="13" t="s">
        <v>179</v>
      </c>
      <c r="AU1" s="13" t="s">
        <v>182</v>
      </c>
      <c r="AV1" s="13" t="s">
        <v>185</v>
      </c>
      <c r="AW1" s="14" t="s">
        <v>186</v>
      </c>
      <c r="AX1" s="5" t="s">
        <v>61</v>
      </c>
      <c r="AY1" s="5" t="s">
        <v>92</v>
      </c>
      <c r="AZ1" s="5" t="s">
        <v>202</v>
      </c>
      <c r="BA1" s="5" t="s">
        <v>53</v>
      </c>
      <c r="BB1" s="5" t="s">
        <v>54</v>
      </c>
      <c r="BC1" s="13" t="s">
        <v>179</v>
      </c>
      <c r="BD1" s="13" t="s">
        <v>182</v>
      </c>
      <c r="BE1" s="13" t="s">
        <v>185</v>
      </c>
      <c r="BF1" s="14" t="s">
        <v>186</v>
      </c>
      <c r="BG1" s="5" t="s">
        <v>61</v>
      </c>
      <c r="BH1" s="5" t="s">
        <v>92</v>
      </c>
      <c r="BI1" s="4" t="s">
        <v>94</v>
      </c>
      <c r="BJ1" s="5" t="s">
        <v>53</v>
      </c>
      <c r="BK1" s="5" t="s">
        <v>54</v>
      </c>
      <c r="BL1" s="13" t="s">
        <v>179</v>
      </c>
      <c r="BM1" s="13" t="s">
        <v>182</v>
      </c>
      <c r="BN1" s="13" t="s">
        <v>185</v>
      </c>
      <c r="BO1" s="14" t="s">
        <v>186</v>
      </c>
      <c r="BP1" s="5" t="s">
        <v>61</v>
      </c>
      <c r="BQ1" s="5" t="s">
        <v>92</v>
      </c>
      <c r="BS1" s="5" t="s">
        <v>139</v>
      </c>
      <c r="BT1" s="5" t="s">
        <v>53</v>
      </c>
      <c r="BU1" s="5" t="s">
        <v>54</v>
      </c>
      <c r="BV1" s="13" t="s">
        <v>179</v>
      </c>
      <c r="BW1" s="13" t="s">
        <v>182</v>
      </c>
      <c r="BX1" s="13" t="s">
        <v>185</v>
      </c>
      <c r="BY1" s="14" t="s">
        <v>186</v>
      </c>
      <c r="BZ1" s="5" t="s">
        <v>61</v>
      </c>
      <c r="CA1" s="5" t="s">
        <v>92</v>
      </c>
      <c r="CC1" s="4" t="s">
        <v>215</v>
      </c>
      <c r="CD1" s="5" t="s">
        <v>53</v>
      </c>
      <c r="CE1" s="5" t="s">
        <v>54</v>
      </c>
      <c r="CF1" s="13" t="s">
        <v>179</v>
      </c>
      <c r="CG1" s="13" t="s">
        <v>182</v>
      </c>
      <c r="CH1" s="13" t="s">
        <v>185</v>
      </c>
      <c r="CI1" s="14" t="s">
        <v>186</v>
      </c>
      <c r="CJ1" s="5" t="s">
        <v>61</v>
      </c>
      <c r="CK1" s="5" t="s">
        <v>92</v>
      </c>
      <c r="CN1" s="4" t="s">
        <v>217</v>
      </c>
      <c r="CO1" s="5" t="s">
        <v>53</v>
      </c>
      <c r="CP1" s="5" t="s">
        <v>54</v>
      </c>
      <c r="CQ1" s="13" t="s">
        <v>179</v>
      </c>
      <c r="CR1" s="13" t="s">
        <v>182</v>
      </c>
      <c r="CS1" s="13" t="s">
        <v>185</v>
      </c>
      <c r="CT1" s="14" t="s">
        <v>186</v>
      </c>
      <c r="CU1" s="5" t="s">
        <v>61</v>
      </c>
      <c r="CV1" s="5" t="s">
        <v>92</v>
      </c>
    </row>
    <row r="2" spans="1:100" ht="17.25" thickTop="1" thickBot="1" x14ac:dyDescent="0.2">
      <c r="A2" s="5" t="s">
        <v>5</v>
      </c>
      <c r="B2" s="6"/>
      <c r="C2" s="6"/>
      <c r="D2" s="58">
        <v>264.48</v>
      </c>
      <c r="E2" s="59">
        <v>1.45</v>
      </c>
      <c r="F2" s="59">
        <v>1.32</v>
      </c>
      <c r="G2" s="54">
        <v>12.08</v>
      </c>
      <c r="H2" s="60">
        <v>3.57</v>
      </c>
      <c r="I2" s="61">
        <v>18.52</v>
      </c>
      <c r="J2" s="66">
        <v>2.8</v>
      </c>
      <c r="K2" s="70">
        <v>0.13</v>
      </c>
      <c r="L2" s="5" t="s">
        <v>5</v>
      </c>
      <c r="M2" s="8">
        <f>M16*0.4*M17*8760/1000000</f>
        <v>18161.042066380804</v>
      </c>
      <c r="N2" s="8">
        <f>N17*0.4*N16*8760/1000000</f>
        <v>21272.513662195204</v>
      </c>
      <c r="O2" s="8">
        <f>O17*0.4*O16*8760/1000000</f>
        <v>51474.230590003215</v>
      </c>
      <c r="P2" s="8">
        <f t="shared" ref="P2:R2" si="0">P17*0.4*P16*8760/1000000</f>
        <v>37157.241811507207</v>
      </c>
      <c r="Q2" s="8">
        <f t="shared" si="0"/>
        <v>46198.478424268804</v>
      </c>
      <c r="R2" s="8">
        <f t="shared" si="0"/>
        <v>47676.736615219219</v>
      </c>
      <c r="S2" s="8">
        <f>S17*0.4*S16*8760/1000000</f>
        <v>9789.0955794432011</v>
      </c>
      <c r="T2" s="8">
        <f>T17*0.4*T16*8760/1000000</f>
        <v>24898.320169920007</v>
      </c>
      <c r="U2" s="8">
        <f>MAX(M2:T11)</f>
        <v>52678.954906972809</v>
      </c>
      <c r="W2" s="5" t="s">
        <v>5</v>
      </c>
      <c r="X2" s="9">
        <f t="shared" ref="X2:AE2" si="1">M17*0.4*M16/1000000/X15</f>
        <v>0.37694151237818191</v>
      </c>
      <c r="Y2" s="9">
        <f t="shared" si="1"/>
        <v>0.37131026598165151</v>
      </c>
      <c r="Z2" s="9">
        <f t="shared" si="1"/>
        <v>0.4197181228800001</v>
      </c>
      <c r="AA2" s="9">
        <f t="shared" si="1"/>
        <v>0.49902285537882363</v>
      </c>
      <c r="AB2" s="9">
        <f t="shared" si="1"/>
        <v>0.37669992192000007</v>
      </c>
      <c r="AC2" s="9">
        <f t="shared" si="1"/>
        <v>0.34015936512000011</v>
      </c>
      <c r="AD2" s="9">
        <f t="shared" si="1"/>
        <v>0.31041018453333341</v>
      </c>
      <c r="AE2" s="9">
        <f t="shared" si="1"/>
        <v>0.28422739920000006</v>
      </c>
      <c r="AF2" s="9">
        <f>MAX(X2:AE11)</f>
        <v>0.51070219398588257</v>
      </c>
      <c r="AI2" s="9">
        <f t="shared" ref="AI2:AI11" si="2">D2/270.67</f>
        <v>0.97713082351202574</v>
      </c>
      <c r="AJ2" s="62">
        <f t="shared" ref="AJ2:AJ11" si="3">E2/1.45</f>
        <v>1</v>
      </c>
      <c r="AK2" s="62">
        <f t="shared" ref="AK2:AK11" si="4">F2/1.32</f>
        <v>1</v>
      </c>
      <c r="AL2" s="62">
        <f t="shared" ref="AL2:AL11" si="5">G2/34.89</f>
        <v>0.34623101175121812</v>
      </c>
      <c r="AM2" s="9">
        <f t="shared" ref="AM2:AM11" si="6">H2/25.36</f>
        <v>0.14077287066246055</v>
      </c>
      <c r="AN2" s="9">
        <f t="shared" ref="AN2:AN11" si="7">I2/18.52</f>
        <v>1</v>
      </c>
      <c r="AO2" s="9">
        <f>J2/3.58</f>
        <v>0.78212290502793291</v>
      </c>
      <c r="AP2" s="9">
        <f>K2/0.13</f>
        <v>1</v>
      </c>
      <c r="AQ2" s="11"/>
      <c r="AR2" s="11">
        <f t="shared" ref="AR2:AR11" si="8">M2/52679</f>
        <v>0.34474918024983014</v>
      </c>
      <c r="AS2" s="11">
        <f t="shared" ref="AS2:AS11" si="9">N2/52679</f>
        <v>0.40381392323687249</v>
      </c>
      <c r="AT2" s="11">
        <f t="shared" ref="AT2:AT11" si="10">O2/52679</f>
        <v>0.97712998709169152</v>
      </c>
      <c r="AU2" s="11">
        <f t="shared" ref="AU2:AU11" si="11">P2/52679</f>
        <v>0.70535207220158336</v>
      </c>
      <c r="AV2" s="11">
        <f t="shared" ref="AV2:AV11" si="12">Q2/52679</f>
        <v>0.87698093024295831</v>
      </c>
      <c r="AW2" s="11">
        <f t="shared" ref="AW2:AW11" si="13">R2/52679</f>
        <v>0.90504255234949826</v>
      </c>
      <c r="AX2" s="11">
        <f t="shared" ref="AX2:AX11" si="14">S2/52679</f>
        <v>0.18582538733543161</v>
      </c>
      <c r="AY2" s="11">
        <f t="shared" ref="AY2:AY11" si="15">T2/52679</f>
        <v>0.47264223257692833</v>
      </c>
      <c r="BA2" s="9">
        <f t="shared" ref="BA2:BA11" si="16">X2/0.51</f>
        <v>0.7391010046631018</v>
      </c>
      <c r="BB2" s="9">
        <f t="shared" ref="BB2:BB11" si="17">Y2/0.51</f>
        <v>0.72805934506206182</v>
      </c>
      <c r="BC2" s="9">
        <f t="shared" ref="BC2:BC11" si="18">Z2/0.51</f>
        <v>0.82297671152941199</v>
      </c>
      <c r="BD2" s="9">
        <f t="shared" ref="BD2:BD11" si="19">AA2/0.51</f>
        <v>0.97847618701730121</v>
      </c>
      <c r="BE2" s="9">
        <f t="shared" ref="BE2:BE11" si="20">AB2/0.51</f>
        <v>0.73862729788235304</v>
      </c>
      <c r="BF2" s="9">
        <f t="shared" ref="BF2:BF11" si="21">AC2/0.51</f>
        <v>0.66697914729411789</v>
      </c>
      <c r="BG2" s="9">
        <f t="shared" ref="BG2:BG11" si="22">AD2/0.51</f>
        <v>0.60864742065359489</v>
      </c>
      <c r="BH2" s="9">
        <f t="shared" ref="BH2:BH11" si="23">AE2/0.51</f>
        <v>0.55730862588235308</v>
      </c>
      <c r="BI2" s="5" t="s">
        <v>5</v>
      </c>
      <c r="BJ2" s="10">
        <f>0.22*AR2+ 0.219*BA2 + 0.102*AR15+ 0.096*AR27 + 0.047*AR39+ 0.065*AR64 + 0.106*AR51 + 0.145*AR77</f>
        <v>0.67122600751309758</v>
      </c>
      <c r="BK2" s="10">
        <f t="shared" ref="BK2:BK11" si="24">0.22*AS2+ 0.219*BB2 + 0.102*AS15+ 0.096*AS27 + 0.047*AS39+ 0.065*AS64 + 0.106*AS51 + 0.145*AS77</f>
        <v>0.68180212751761926</v>
      </c>
      <c r="BL2" s="10">
        <f t="shared" ref="BL2:BL11" si="25">0.22*AT2+ 0.219*BC2 + 0.102*AT15+ 0.096*AT27 + 0.047*AT39+ 0.065*AT64 + 0.106*AT51 + 0.145*AT77</f>
        <v>0.82870522082380249</v>
      </c>
      <c r="BM2" s="10">
        <f t="shared" ref="BM2:BM11" si="26">0.22*AU2+ 0.219*BD2 + 0.102*AU15+ 0.096*AU27 + 0.047*AU39+ 0.065*AU64 + 0.106*AU51 + 0.145*AU77</f>
        <v>0.80296846467982641</v>
      </c>
      <c r="BN2" s="10">
        <f t="shared" ref="BN2:BN11" si="27">0.22*AV2+ 0.219*BE2 + 0.102*AV15+ 0.096*AV27 + 0.047*AV39+ 0.065*AV64 + 0.106*AV51 + 0.145*AV77</f>
        <v>0.78819990672837525</v>
      </c>
      <c r="BO2" s="10">
        <f t="shared" ref="BO2:BO11" si="28">0.22*AW2+ 0.219*BF2 + 0.102*AW15+ 0.096*AW27 + 0.047*AW39+ 0.065*AW64 + 0.106*AW51 + 0.145*AW77</f>
        <v>0.77868251861299054</v>
      </c>
      <c r="BP2" s="10">
        <f t="shared" ref="BP2:BP11" si="29">0.22*AX2+ 0.219*BG2 + 0.102*AX15+ 0.096*AX27 + 0.047*AX39+ 0.065*AX64 + 0.106*AX51 + 0.145*AX77</f>
        <v>0.60768009417562119</v>
      </c>
      <c r="BQ2" s="10">
        <f t="shared" ref="BQ2:BQ11" si="30">0.22*AY2+ 0.219*BH2 + 0.102*AY15+ 0.096*AY27 + 0.047*AY39+ 0.065*AY64 + 0.106*AY51 + 0.145*AY77</f>
        <v>0.65953660407384851</v>
      </c>
      <c r="BT2" s="8">
        <f t="shared" ref="BT2:BT11" si="31">M2/8760*1000</f>
        <v>2073.1783180800007</v>
      </c>
      <c r="BU2" s="8">
        <f t="shared" ref="BU2:BU11" si="32">N2/8760*1000</f>
        <v>2428.3691395200003</v>
      </c>
      <c r="BV2" s="8">
        <f t="shared" ref="BV2:BV11" si="33">O2/8760*1000</f>
        <v>5876.053720320002</v>
      </c>
      <c r="BW2" s="8">
        <f t="shared" ref="BW2:BW11" si="34">P2/8760*1000</f>
        <v>4241.6942707200005</v>
      </c>
      <c r="BX2" s="8">
        <f t="shared" ref="BX2:BX11" si="35">Q2/8760*1000</f>
        <v>5273.7989068800007</v>
      </c>
      <c r="BY2" s="8">
        <f t="shared" ref="BY2:BY11" si="36">R2/8760*1000</f>
        <v>5442.5498419200021</v>
      </c>
      <c r="BZ2" s="8">
        <f t="shared" ref="BZ2:BZ11" si="37">S2/8760*1000</f>
        <v>1117.4766643200001</v>
      </c>
      <c r="CA2" s="8">
        <f t="shared" ref="CA2:CA11" si="38">T2/8760*1000</f>
        <v>2842.2739920000008</v>
      </c>
      <c r="CB2" s="8"/>
      <c r="CC2" s="5" t="s">
        <v>5</v>
      </c>
      <c r="CD2" s="5">
        <f>0.22*BH18+0.219*BH31+0.102*BH44+0.096*BH57+0.047*BH70+0.065*BH83+0.106*BH96+0.145*BH109</f>
        <v>0.59191307870270005</v>
      </c>
      <c r="CE2" s="5">
        <f t="shared" ref="CE2:CK2" si="39">0.22*BI18+0.219*BI31+0.102*BI44+0.096*BI57+0.047*BI70+0.065*BI83+0.106*BI96+0.145*BI109</f>
        <v>0.60367407919900928</v>
      </c>
      <c r="CF2" s="5">
        <f t="shared" si="39"/>
        <v>0.7403915899095812</v>
      </c>
      <c r="CG2" s="5">
        <f t="shared" si="39"/>
        <v>0.69796818505099978</v>
      </c>
      <c r="CH2" s="5">
        <f t="shared" si="39"/>
        <v>0.70893781139261991</v>
      </c>
      <c r="CI2" s="5">
        <f t="shared" si="39"/>
        <v>0.7071089863168587</v>
      </c>
      <c r="CJ2" s="5">
        <f t="shared" si="39"/>
        <v>0.542366139465284</v>
      </c>
      <c r="CK2" s="5">
        <f t="shared" si="39"/>
        <v>0.59973181543041321</v>
      </c>
      <c r="CN2" s="5" t="s">
        <v>5</v>
      </c>
      <c r="CO2" s="5">
        <f>0.193*BH18+0.191*BH31+0.089*BH44+0.084*BH57+0.041*BH70+0.057*BH83+0.131*BH96+0.063*BH109+0.063*BH122+0.088*BH135</f>
        <v>0.60415112312894981</v>
      </c>
      <c r="CP2" s="5">
        <f t="shared" ref="CP2:CV2" si="40">0.193*BI18+0.191*BI31+0.089*BI44+0.084*BI57+0.041*BI70+0.057*BI83+0.131*BI96+0.063*BI109+0.063*BI122+0.088*BI135</f>
        <v>0.61447505046371165</v>
      </c>
      <c r="CQ2" s="5">
        <f t="shared" si="40"/>
        <v>0.73435930816270611</v>
      </c>
      <c r="CR2" s="5">
        <f t="shared" si="40"/>
        <v>0.69705337449619054</v>
      </c>
      <c r="CS2" s="5">
        <f t="shared" si="40"/>
        <v>0.70681406380754053</v>
      </c>
      <c r="CT2" s="5">
        <f t="shared" si="40"/>
        <v>0.70525071052530286</v>
      </c>
      <c r="CU2" s="5">
        <f t="shared" si="40"/>
        <v>0.56075970418553456</v>
      </c>
      <c r="CV2" s="5">
        <f t="shared" si="40"/>
        <v>0.61111444331847675</v>
      </c>
    </row>
    <row r="3" spans="1:100" ht="15.75" x14ac:dyDescent="0.15">
      <c r="A3" s="5" t="s">
        <v>22</v>
      </c>
      <c r="B3" s="6"/>
      <c r="C3" s="6"/>
      <c r="D3" s="58">
        <v>263.89999999999998</v>
      </c>
      <c r="E3" s="59">
        <v>1.41</v>
      </c>
      <c r="F3" s="59">
        <v>1.2</v>
      </c>
      <c r="G3" s="20">
        <v>17.95</v>
      </c>
      <c r="H3" s="60">
        <v>26.4</v>
      </c>
      <c r="I3" s="59">
        <v>18.309999999999999</v>
      </c>
      <c r="J3" s="67">
        <v>3.2</v>
      </c>
      <c r="K3" s="13">
        <v>0.11</v>
      </c>
      <c r="L3" s="5" t="s">
        <v>22</v>
      </c>
      <c r="M3" s="8">
        <f>M18*0.4*M16*8760/1000000</f>
        <v>18121.215219744005</v>
      </c>
      <c r="N3" s="8">
        <f>N18*0.4*N16*8760/1000000</f>
        <v>21225.863412936</v>
      </c>
      <c r="O3" s="8">
        <f t="shared" ref="O3:R3" si="41">O18*0.4*O16*8760/1000000</f>
        <v>51361.348505376001</v>
      </c>
      <c r="P3" s="8">
        <f t="shared" si="41"/>
        <v>37075.756632096003</v>
      </c>
      <c r="Q3" s="8">
        <f t="shared" si="41"/>
        <v>46097.165971584007</v>
      </c>
      <c r="R3" s="8">
        <f t="shared" si="41"/>
        <v>47572.182368256006</v>
      </c>
      <c r="S3" s="8">
        <f>S18*0.4*S16*8760/1000000</f>
        <v>9767.628264576002</v>
      </c>
      <c r="T3" s="8">
        <f>T18*0.4*T16*8760/1000000</f>
        <v>24843.718590600001</v>
      </c>
      <c r="U3" s="8"/>
      <c r="W3" s="5" t="s">
        <v>22</v>
      </c>
      <c r="X3" s="9">
        <f t="shared" ref="X3:AE3" si="42">M18*0.4*M16/1000000/X15</f>
        <v>0.37611488625454553</v>
      </c>
      <c r="Y3" s="9">
        <f t="shared" si="42"/>
        <v>0.37049598908256881</v>
      </c>
      <c r="Z3" s="9">
        <f t="shared" si="42"/>
        <v>0.41879768840000003</v>
      </c>
      <c r="AA3" s="9">
        <f t="shared" si="42"/>
        <v>0.49792850701176478</v>
      </c>
      <c r="AB3" s="9">
        <f t="shared" si="42"/>
        <v>0.37587382559999999</v>
      </c>
      <c r="AC3" s="9">
        <f t="shared" si="42"/>
        <v>0.33941340160000005</v>
      </c>
      <c r="AD3" s="9">
        <f t="shared" si="42"/>
        <v>0.30972946044444449</v>
      </c>
      <c r="AE3" s="9">
        <f t="shared" si="42"/>
        <v>0.28360409350000004</v>
      </c>
      <c r="AF3" s="9"/>
      <c r="AI3" s="9">
        <f t="shared" si="2"/>
        <v>0.97498799275870973</v>
      </c>
      <c r="AJ3" s="62">
        <f t="shared" si="3"/>
        <v>0.97241379310344822</v>
      </c>
      <c r="AK3" s="62">
        <f t="shared" si="4"/>
        <v>0.90909090909090906</v>
      </c>
      <c r="AL3" s="62">
        <f t="shared" si="5"/>
        <v>0.51447406133562623</v>
      </c>
      <c r="AM3" s="9">
        <f t="shared" si="6"/>
        <v>1.0410094637223974</v>
      </c>
      <c r="AN3" s="9">
        <f t="shared" si="7"/>
        <v>0.98866090712742971</v>
      </c>
      <c r="AO3" s="9">
        <f t="shared" ref="AO3:AO11" si="43">J3/3.58</f>
        <v>0.89385474860335201</v>
      </c>
      <c r="AP3" s="9">
        <f t="shared" ref="AP3:AP11" si="44">K3/0.13</f>
        <v>0.84615384615384615</v>
      </c>
      <c r="AQ3" s="11"/>
      <c r="AR3" s="11">
        <f t="shared" si="8"/>
        <v>0.34399315134577352</v>
      </c>
      <c r="AS3" s="11">
        <f t="shared" si="9"/>
        <v>0.40292836638766871</v>
      </c>
      <c r="AT3" s="11">
        <f t="shared" si="10"/>
        <v>0.97498715817263049</v>
      </c>
      <c r="AU3" s="11">
        <f t="shared" si="11"/>
        <v>0.70380524748184292</v>
      </c>
      <c r="AV3" s="11">
        <f t="shared" si="12"/>
        <v>0.87505772644856594</v>
      </c>
      <c r="AW3" s="11">
        <f t="shared" si="13"/>
        <v>0.90305780991013507</v>
      </c>
      <c r="AX3" s="11">
        <f t="shared" si="14"/>
        <v>0.18541787552109953</v>
      </c>
      <c r="AY3" s="11">
        <f t="shared" si="15"/>
        <v>0.47160573645285603</v>
      </c>
      <c r="BA3" s="9">
        <f t="shared" si="16"/>
        <v>0.73748016912655989</v>
      </c>
      <c r="BB3" s="9">
        <f t="shared" si="17"/>
        <v>0.72646272369131137</v>
      </c>
      <c r="BC3" s="9">
        <f t="shared" si="18"/>
        <v>0.82117193803921573</v>
      </c>
      <c r="BD3" s="9">
        <f t="shared" si="19"/>
        <v>0.97633040590542108</v>
      </c>
      <c r="BE3" s="9">
        <f t="shared" si="20"/>
        <v>0.73700750117647051</v>
      </c>
      <c r="BF3" s="9">
        <f t="shared" si="21"/>
        <v>0.66551647372549028</v>
      </c>
      <c r="BG3" s="9">
        <f t="shared" si="22"/>
        <v>0.60731266753812641</v>
      </c>
      <c r="BH3" s="9">
        <f t="shared" si="23"/>
        <v>0.55608645784313737</v>
      </c>
      <c r="BI3" s="5" t="s">
        <v>22</v>
      </c>
      <c r="BJ3" s="10">
        <f t="shared" ref="BJ3:BJ11" si="45">0.22*AR3+ 0.219*BA3 + 0.102*AR16+ 0.096*AR28 + 0.047*AR40+ 0.065*AR65 + 0.106*AR52 + 0.145*AR78</f>
        <v>0.7382701196383884</v>
      </c>
      <c r="BK3" s="10">
        <f t="shared" si="24"/>
        <v>0.74882304639728592</v>
      </c>
      <c r="BL3" s="10">
        <f t="shared" si="25"/>
        <v>0.89541852327078009</v>
      </c>
      <c r="BM3" s="10">
        <f t="shared" si="26"/>
        <v>0.86973820738150587</v>
      </c>
      <c r="BN3" s="10">
        <f t="shared" si="27"/>
        <v>0.85500203661854468</v>
      </c>
      <c r="BO3" s="10">
        <f t="shared" si="28"/>
        <v>0.84550551996832524</v>
      </c>
      <c r="BP3" s="10">
        <f t="shared" si="29"/>
        <v>0.67487810084770483</v>
      </c>
      <c r="BQ3" s="10">
        <f t="shared" si="30"/>
        <v>0.72662089032948862</v>
      </c>
      <c r="BT3" s="8">
        <f t="shared" si="31"/>
        <v>2068.6318744000009</v>
      </c>
      <c r="BU3" s="8">
        <f t="shared" si="32"/>
        <v>2423.0437686</v>
      </c>
      <c r="BV3" s="8">
        <f t="shared" si="33"/>
        <v>5863.1676376000005</v>
      </c>
      <c r="BW3" s="8">
        <f t="shared" si="34"/>
        <v>4232.3923096000008</v>
      </c>
      <c r="BX3" s="8">
        <f t="shared" si="35"/>
        <v>5262.2335584000011</v>
      </c>
      <c r="BY3" s="8">
        <f t="shared" si="36"/>
        <v>5430.6144256000007</v>
      </c>
      <c r="BZ3" s="8">
        <f t="shared" si="37"/>
        <v>1115.0260576000003</v>
      </c>
      <c r="CA3" s="8">
        <f t="shared" si="38"/>
        <v>2836.040935</v>
      </c>
      <c r="CB3" s="8"/>
      <c r="CC3" s="5" t="s">
        <v>22</v>
      </c>
      <c r="CD3" s="5">
        <f t="shared" ref="CD3:CD11" si="46">0.22*BH19+0.219*BH32+0.102*BH45+0.096*BH58+0.047*BH71+0.065*BH84+0.106*BH97+0.145*BH110</f>
        <v>0.65913112268941731</v>
      </c>
      <c r="CE3" s="5">
        <f t="shared" ref="CE3:CE11" si="47">0.22*BI19+0.219*BI32+0.102*BI45+0.096*BI58+0.047*BI71+0.065*BI84+0.106*BI97+0.145*BI110</f>
        <v>0.67086633151797137</v>
      </c>
      <c r="CF3" s="5">
        <f t="shared" ref="CF3:CF11" si="48">0.22*BJ19+0.219*BJ32+0.102*BJ45+0.096*BJ58+0.047*BJ71+0.065*BJ84+0.106*BJ97+0.145*BJ110</f>
        <v>0.80729856259979194</v>
      </c>
      <c r="CG3" s="5">
        <f t="shared" ref="CG3:CG11" si="49">0.22*BK19+0.219*BK32+0.102*BK45+0.096*BK58+0.047*BK71+0.065*BK84+0.106*BK97+0.145*BK110</f>
        <v>0.76496819152379514</v>
      </c>
      <c r="CH3" s="5">
        <f t="shared" ref="CH3:CH11" si="50">0.22*BL19+0.219*BL32+0.102*BL45+0.096*BL58+0.047*BL71+0.065*BL84+0.106*BL97+0.145*BL110</f>
        <v>0.77591376166729775</v>
      </c>
      <c r="CI3" s="5">
        <f t="shared" ref="CI3:CI11" si="51">0.22*BM19+0.219*BM32+0.102*BM45+0.096*BM58+0.047*BM71+0.065*BM84+0.106*BM97+0.145*BM110</f>
        <v>0.77408894717284293</v>
      </c>
      <c r="CJ3" s="5">
        <f t="shared" ref="CJ3:CJ11" si="52">0.22*BN19+0.219*BN32+0.102*BN45+0.096*BN58+0.047*BN71+0.065*BN84+0.106*BN97+0.145*BN110</f>
        <v>0.60970737849418855</v>
      </c>
      <c r="CK3" s="5">
        <f t="shared" ref="CK3:CK11" si="53">0.22*BO19+0.219*BO32+0.102*BO45+0.096*BO58+0.047*BO71+0.065*BO84+0.106*BO97+0.145*BO110</f>
        <v>0.66694725253834164</v>
      </c>
      <c r="CN3" s="5" t="s">
        <v>22</v>
      </c>
      <c r="CO3" s="5">
        <f t="shared" ref="CO3:CO11" si="54">0.193*BH19+0.191*BH32+0.089*BH45+0.084*BH58+0.041*BH71+0.057*BH84+0.131*BH97+0.063*BH110+0.063*BH123+0.088*BH136</f>
        <v>0.66375170497301605</v>
      </c>
      <c r="CP3" s="5">
        <f t="shared" ref="CP3:CP11" si="55">0.193*BI19+0.191*BI32+0.089*BI45+0.084*BI58+0.041*BI71+0.057*BI84+0.131*BI97+0.063*BI110+0.063*BI123+0.088*BI136</f>
        <v>0.67405299211625425</v>
      </c>
      <c r="CQ3" s="5">
        <f t="shared" ref="CQ3:CQ11" si="56">0.193*BJ19+0.191*BJ32+0.089*BJ45+0.084*BJ58+0.041*BJ71+0.057*BJ84+0.131*BJ97+0.063*BJ110+0.063*BJ123+0.088*BJ136</f>
        <v>0.79368703214485614</v>
      </c>
      <c r="CR3" s="5">
        <f t="shared" ref="CR3:CR11" si="57">0.193*BK19+0.191*BK32+0.089*BK45+0.084*BK58+0.041*BK71+0.057*BK84+0.131*BK97+0.063*BK110+0.063*BK123+0.088*BK136</f>
        <v>0.75646290973638108</v>
      </c>
      <c r="CS3" s="5">
        <f t="shared" ref="CS3:CS11" si="58">0.193*BL19+0.191*BL32+0.089*BL45+0.084*BL58+0.041*BL71+0.057*BL84+0.131*BL97+0.063*BL110+0.063*BL123+0.088*BL136</f>
        <v>0.7662021940273116</v>
      </c>
      <c r="CT3" s="5">
        <f t="shared" ref="CT3:CT11" si="59">0.193*BM19+0.191*BM32+0.089*BM45+0.084*BM58+0.041*BM71+0.057*BM84+0.131*BM97+0.063*BM110+0.063*BM123+0.088*BM136</f>
        <v>0.76464226915139433</v>
      </c>
      <c r="CU3" s="5">
        <f t="shared" ref="CU3:CU11" si="60">0.193*BN19+0.191*BN32+0.089*BN45+0.084*BN58+0.041*BN71+0.057*BN84+0.131*BN97+0.063*BN110+0.063*BN123+0.088*BN136</f>
        <v>0.62046812905359949</v>
      </c>
      <c r="CV3" s="5">
        <f t="shared" ref="CV3:CV11" si="61">0.193*BO19+0.191*BO32+0.089*BO45+0.084*BO58+0.041*BO71+0.057*BO84+0.131*BO97+0.063*BO110+0.063*BO123+0.088*BO136</f>
        <v>0.67071244112703965</v>
      </c>
    </row>
    <row r="4" spans="1:100" ht="15.75" x14ac:dyDescent="0.15">
      <c r="A4" s="5" t="s">
        <v>6</v>
      </c>
      <c r="B4" s="6"/>
      <c r="C4" s="6"/>
      <c r="D4" s="58">
        <v>270.67</v>
      </c>
      <c r="E4" s="59">
        <v>1.38</v>
      </c>
      <c r="F4" s="59">
        <v>1.1299999999999999</v>
      </c>
      <c r="G4" s="20">
        <v>28.11</v>
      </c>
      <c r="H4" s="60">
        <v>18.64</v>
      </c>
      <c r="I4" s="59">
        <v>18.309999999999999</v>
      </c>
      <c r="J4" s="67">
        <v>3.58</v>
      </c>
      <c r="K4" s="13">
        <v>0.11</v>
      </c>
      <c r="L4" s="5" t="s">
        <v>6</v>
      </c>
      <c r="M4" s="8">
        <f t="shared" ref="M4:R4" si="62">M16*0.4*M19*8760/1000000</f>
        <v>18586.090653763204</v>
      </c>
      <c r="N4" s="8">
        <f t="shared" si="62"/>
        <v>21770.384425840806</v>
      </c>
      <c r="O4" s="8">
        <f t="shared" si="62"/>
        <v>52678.954906972809</v>
      </c>
      <c r="P4" s="8">
        <f t="shared" si="62"/>
        <v>38026.885364188805</v>
      </c>
      <c r="Q4" s="8">
        <f t="shared" si="62"/>
        <v>47279.726841715201</v>
      </c>
      <c r="R4" s="8">
        <f t="shared" si="62"/>
        <v>48792.582802636811</v>
      </c>
      <c r="S4" s="8">
        <f>S16*0.4*S19*8760/1000000</f>
        <v>10018.203646732802</v>
      </c>
      <c r="T4" s="8">
        <f>T16*0.4*T19*8760/1000000</f>
        <v>25481.050818180003</v>
      </c>
      <c r="U4" s="8"/>
      <c r="W4" s="5" t="s">
        <v>6</v>
      </c>
      <c r="X4" s="9">
        <f t="shared" ref="X4:AE4" si="63">M19*0.4*M16/1000000/X15</f>
        <v>0.38576360842181823</v>
      </c>
      <c r="Y4" s="9">
        <f t="shared" si="63"/>
        <v>0.38000056599082577</v>
      </c>
      <c r="Z4" s="9">
        <f t="shared" si="63"/>
        <v>0.42954138052000002</v>
      </c>
      <c r="AA4" s="9">
        <f t="shared" si="63"/>
        <v>0.51070219398588257</v>
      </c>
      <c r="AB4" s="9">
        <f t="shared" si="63"/>
        <v>0.38551636367999997</v>
      </c>
      <c r="AC4" s="9">
        <f t="shared" si="63"/>
        <v>0.34812059648000004</v>
      </c>
      <c r="AD4" s="9">
        <f t="shared" si="63"/>
        <v>0.31767515368888899</v>
      </c>
      <c r="AE4" s="9">
        <f t="shared" si="63"/>
        <v>0.29087957555000005</v>
      </c>
      <c r="AF4" s="9"/>
      <c r="AI4" s="9">
        <f t="shared" si="2"/>
        <v>1</v>
      </c>
      <c r="AJ4" s="62">
        <f t="shared" si="3"/>
        <v>0.95172413793103439</v>
      </c>
      <c r="AK4" s="62">
        <f t="shared" si="4"/>
        <v>0.85606060606060597</v>
      </c>
      <c r="AL4" s="62">
        <f t="shared" si="5"/>
        <v>0.80567497850386927</v>
      </c>
      <c r="AM4" s="9">
        <f t="shared" si="6"/>
        <v>0.73501577287066255</v>
      </c>
      <c r="AN4" s="9">
        <f t="shared" si="7"/>
        <v>0.98866090712742971</v>
      </c>
      <c r="AO4" s="9">
        <f t="shared" si="43"/>
        <v>1</v>
      </c>
      <c r="AP4" s="9">
        <f t="shared" si="44"/>
        <v>0.84615384615384615</v>
      </c>
      <c r="AQ4" s="11"/>
      <c r="AR4" s="11">
        <f t="shared" si="8"/>
        <v>0.35281783355346918</v>
      </c>
      <c r="AS4" s="11">
        <f t="shared" si="9"/>
        <v>0.41326495236889094</v>
      </c>
      <c r="AT4" s="11">
        <f t="shared" si="10"/>
        <v>0.99999914400373602</v>
      </c>
      <c r="AU4" s="11">
        <f t="shared" si="11"/>
        <v>0.72186042567605313</v>
      </c>
      <c r="AV4" s="11">
        <f t="shared" si="12"/>
        <v>0.89750615694518121</v>
      </c>
      <c r="AW4" s="11">
        <f t="shared" si="13"/>
        <v>0.92622454493511286</v>
      </c>
      <c r="AX4" s="11">
        <f t="shared" si="14"/>
        <v>0.19017452204356197</v>
      </c>
      <c r="AY4" s="11">
        <f t="shared" si="15"/>
        <v>0.4837041481079748</v>
      </c>
      <c r="BA4" s="9">
        <f t="shared" si="16"/>
        <v>0.75639923219964356</v>
      </c>
      <c r="BB4" s="9">
        <f t="shared" si="17"/>
        <v>0.74509914900161911</v>
      </c>
      <c r="BC4" s="9">
        <f t="shared" si="18"/>
        <v>0.84223800101960788</v>
      </c>
      <c r="BD4" s="9">
        <f t="shared" si="19"/>
        <v>1.001376850952711</v>
      </c>
      <c r="BE4" s="9">
        <f t="shared" si="20"/>
        <v>0.75591443858823526</v>
      </c>
      <c r="BF4" s="9">
        <f t="shared" si="21"/>
        <v>0.68258940486274522</v>
      </c>
      <c r="BG4" s="9">
        <f t="shared" si="22"/>
        <v>0.6228924582135078</v>
      </c>
      <c r="BH4" s="9">
        <f t="shared" si="23"/>
        <v>0.57035210892156873</v>
      </c>
      <c r="BI4" s="5" t="s">
        <v>6</v>
      </c>
      <c r="BJ4" s="10">
        <f t="shared" si="45"/>
        <v>0.75340512545119342</v>
      </c>
      <c r="BK4" s="10">
        <f t="shared" si="24"/>
        <v>0.76422877337021888</v>
      </c>
      <c r="BL4" s="10">
        <f t="shared" si="25"/>
        <v>0.91458370412182444</v>
      </c>
      <c r="BM4" s="10">
        <f t="shared" si="26"/>
        <v>0.88824459422508373</v>
      </c>
      <c r="BN4" s="10">
        <f t="shared" si="27"/>
        <v>0.8731303867964717</v>
      </c>
      <c r="BO4" s="10">
        <f t="shared" si="28"/>
        <v>0.86339024976837431</v>
      </c>
      <c r="BP4" s="10">
        <f t="shared" si="29"/>
        <v>0.6883856134160502</v>
      </c>
      <c r="BQ4" s="10">
        <f t="shared" si="30"/>
        <v>0.74145579465528633</v>
      </c>
      <c r="BT4" s="8">
        <f t="shared" si="31"/>
        <v>2121.6998463200002</v>
      </c>
      <c r="BU4" s="8">
        <f t="shared" si="32"/>
        <v>2485.2037015800006</v>
      </c>
      <c r="BV4" s="8">
        <f t="shared" si="33"/>
        <v>6013.5793272800011</v>
      </c>
      <c r="BW4" s="8">
        <f t="shared" si="34"/>
        <v>4340.9686488800007</v>
      </c>
      <c r="BX4" s="8">
        <f t="shared" si="35"/>
        <v>5397.2290915200001</v>
      </c>
      <c r="BY4" s="8">
        <f t="shared" si="36"/>
        <v>5569.9295436800012</v>
      </c>
      <c r="BZ4" s="8">
        <f t="shared" si="37"/>
        <v>1143.6305532800002</v>
      </c>
      <c r="CA4" s="8">
        <f t="shared" si="38"/>
        <v>2908.7957555000003</v>
      </c>
      <c r="CB4" s="8"/>
      <c r="CC4" s="5" t="s">
        <v>6</v>
      </c>
      <c r="CD4" s="5">
        <f t="shared" si="46"/>
        <v>0.67223592384384978</v>
      </c>
      <c r="CE4" s="5">
        <f t="shared" si="47"/>
        <v>0.68427218369085518</v>
      </c>
      <c r="CF4" s="5">
        <f t="shared" si="48"/>
        <v>0.82420314423241026</v>
      </c>
      <c r="CG4" s="5">
        <f t="shared" si="49"/>
        <v>0.78078684434934831</v>
      </c>
      <c r="CH4" s="5">
        <f t="shared" si="50"/>
        <v>0.79201320839156819</v>
      </c>
      <c r="CI4" s="5">
        <f t="shared" si="51"/>
        <v>0.79014158073255314</v>
      </c>
      <c r="CJ4" s="5">
        <f t="shared" si="52"/>
        <v>0.62154302372515868</v>
      </c>
      <c r="CK4" s="5">
        <f t="shared" si="53"/>
        <v>0.68025130984691284</v>
      </c>
      <c r="CN4" s="5" t="s">
        <v>6</v>
      </c>
      <c r="CO4" s="5">
        <f t="shared" si="54"/>
        <v>0.69300450036727967</v>
      </c>
      <c r="CP4" s="5">
        <f t="shared" si="55"/>
        <v>0.70357005319433663</v>
      </c>
      <c r="CQ4" s="5">
        <f t="shared" si="56"/>
        <v>0.82627204775493401</v>
      </c>
      <c r="CR4" s="5">
        <f t="shared" si="57"/>
        <v>0.78809299048967463</v>
      </c>
      <c r="CS4" s="5">
        <f t="shared" si="58"/>
        <v>0.79808212303619286</v>
      </c>
      <c r="CT4" s="5">
        <f t="shared" si="59"/>
        <v>0.79648218038304963</v>
      </c>
      <c r="CU4" s="5">
        <f t="shared" si="60"/>
        <v>0.64860944639187823</v>
      </c>
      <c r="CV4" s="5">
        <f t="shared" si="61"/>
        <v>0.70014270879778195</v>
      </c>
    </row>
    <row r="5" spans="1:100" ht="15.75" x14ac:dyDescent="0.15">
      <c r="A5" s="5" t="s">
        <v>7</v>
      </c>
      <c r="B5" s="6"/>
      <c r="C5" s="6"/>
      <c r="D5" s="58">
        <v>254.03</v>
      </c>
      <c r="E5" s="59">
        <v>1.38</v>
      </c>
      <c r="F5" s="59">
        <v>1.05</v>
      </c>
      <c r="G5" s="20">
        <v>16.399999999999999</v>
      </c>
      <c r="H5" s="60">
        <v>20.47</v>
      </c>
      <c r="I5" s="59">
        <v>17.899999999999999</v>
      </c>
      <c r="J5" s="67">
        <v>2.52</v>
      </c>
      <c r="K5" s="13">
        <v>7.0000000000000007E-2</v>
      </c>
      <c r="L5" s="5" t="s">
        <v>7</v>
      </c>
      <c r="M5" s="8">
        <f t="shared" ref="M5:R5" si="64">M16*0.4*M20*8760/1000000</f>
        <v>17443.472157148804</v>
      </c>
      <c r="N5" s="8">
        <f t="shared" si="64"/>
        <v>20432.004860887202</v>
      </c>
      <c r="O5" s="8">
        <f t="shared" si="64"/>
        <v>49440.406823875208</v>
      </c>
      <c r="P5" s="8">
        <f t="shared" si="64"/>
        <v>35689.103665219205</v>
      </c>
      <c r="Q5" s="8">
        <f t="shared" si="64"/>
        <v>44373.107509516798</v>
      </c>
      <c r="R5" s="8">
        <f t="shared" si="64"/>
        <v>45792.957510451211</v>
      </c>
      <c r="S5" s="8">
        <f>S16*0.4*S20*8760/1000000</f>
        <v>9402.3137857151996</v>
      </c>
      <c r="T5" s="8">
        <f>T16*0.4*T20*8760/1000000</f>
        <v>23914.550335620002</v>
      </c>
      <c r="U5" s="8"/>
      <c r="W5" s="5" t="s">
        <v>7</v>
      </c>
      <c r="X5" s="9">
        <f t="shared" ref="X5:AE5" si="65">M20*0.4*M16/1000000/X15</f>
        <v>0.36204798997818188</v>
      </c>
      <c r="Y5" s="9">
        <f t="shared" si="65"/>
        <v>0.35663924254128448</v>
      </c>
      <c r="Z5" s="9">
        <f t="shared" si="65"/>
        <v>0.40313443267999999</v>
      </c>
      <c r="AA5" s="9">
        <f t="shared" si="65"/>
        <v>0.47930571669647065</v>
      </c>
      <c r="AB5" s="9">
        <f t="shared" si="65"/>
        <v>0.36181594512000004</v>
      </c>
      <c r="AC5" s="9">
        <f t="shared" si="65"/>
        <v>0.32671916032000003</v>
      </c>
      <c r="AD5" s="9">
        <f t="shared" si="65"/>
        <v>0.29814541431111113</v>
      </c>
      <c r="AE5" s="9">
        <f t="shared" si="65"/>
        <v>0.27299714995000002</v>
      </c>
      <c r="AF5" s="9"/>
      <c r="AI5" s="9">
        <f t="shared" si="2"/>
        <v>0.93852292459452469</v>
      </c>
      <c r="AJ5" s="62">
        <f t="shared" si="3"/>
        <v>0.95172413793103439</v>
      </c>
      <c r="AK5" s="62">
        <f t="shared" si="4"/>
        <v>0.79545454545454541</v>
      </c>
      <c r="AL5" s="62">
        <f t="shared" si="5"/>
        <v>0.47004872456291197</v>
      </c>
      <c r="AM5" s="9">
        <f t="shared" si="6"/>
        <v>0.80717665615141954</v>
      </c>
      <c r="AN5" s="9">
        <f t="shared" si="7"/>
        <v>0.96652267818574511</v>
      </c>
      <c r="AO5" s="9">
        <f t="shared" si="43"/>
        <v>0.7039106145251397</v>
      </c>
      <c r="AP5" s="9">
        <f t="shared" si="44"/>
        <v>0.53846153846153855</v>
      </c>
      <c r="AQ5" s="11"/>
      <c r="AR5" s="11">
        <f t="shared" si="8"/>
        <v>0.33112762499570614</v>
      </c>
      <c r="AS5" s="11">
        <f t="shared" si="9"/>
        <v>0.38785863172966839</v>
      </c>
      <c r="AT5" s="11">
        <f t="shared" si="10"/>
        <v>0.93852212122240752</v>
      </c>
      <c r="AU5" s="11">
        <f t="shared" si="11"/>
        <v>0.67748255785453793</v>
      </c>
      <c r="AV5" s="11">
        <f t="shared" si="12"/>
        <v>0.8423301032577839</v>
      </c>
      <c r="AW5" s="11">
        <f t="shared" si="13"/>
        <v>0.8692829687437349</v>
      </c>
      <c r="AX5" s="11">
        <f t="shared" si="14"/>
        <v>0.17848314861168965</v>
      </c>
      <c r="AY5" s="11">
        <f t="shared" si="15"/>
        <v>0.45396743172079962</v>
      </c>
      <c r="BA5" s="9">
        <f t="shared" si="16"/>
        <v>0.70989801956506249</v>
      </c>
      <c r="BB5" s="9">
        <f t="shared" si="17"/>
        <v>0.69929263243389117</v>
      </c>
      <c r="BC5" s="9">
        <f t="shared" si="18"/>
        <v>0.79045967192156863</v>
      </c>
      <c r="BD5" s="9">
        <f t="shared" si="19"/>
        <v>0.93981513077739343</v>
      </c>
      <c r="BE5" s="9">
        <f t="shared" si="20"/>
        <v>0.70944302964705885</v>
      </c>
      <c r="BF5" s="9">
        <f t="shared" si="21"/>
        <v>0.64062580454901963</v>
      </c>
      <c r="BG5" s="9">
        <f t="shared" si="22"/>
        <v>0.58459885159041403</v>
      </c>
      <c r="BH5" s="9">
        <f t="shared" si="23"/>
        <v>0.5352885293137255</v>
      </c>
      <c r="BI5" s="5" t="s">
        <v>7</v>
      </c>
      <c r="BJ5" s="10">
        <f t="shared" si="45"/>
        <v>0.69523439876063242</v>
      </c>
      <c r="BK5" s="10">
        <f t="shared" si="24"/>
        <v>0.70539264046037764</v>
      </c>
      <c r="BL5" s="10">
        <f t="shared" si="25"/>
        <v>0.84655285148794013</v>
      </c>
      <c r="BM5" s="10">
        <f t="shared" si="26"/>
        <v>0.82183299303643431</v>
      </c>
      <c r="BN5" s="10">
        <f t="shared" si="27"/>
        <v>0.80764796287760521</v>
      </c>
      <c r="BO5" s="10">
        <f t="shared" si="28"/>
        <v>0.79850662098804381</v>
      </c>
      <c r="BP5" s="10">
        <f t="shared" si="29"/>
        <v>0.63426075786105929</v>
      </c>
      <c r="BQ5" s="10">
        <f t="shared" si="30"/>
        <v>0.68406833956646873</v>
      </c>
      <c r="BT5" s="8">
        <f t="shared" si="31"/>
        <v>1991.2639448800005</v>
      </c>
      <c r="BU5" s="8">
        <f t="shared" si="32"/>
        <v>2332.42064622</v>
      </c>
      <c r="BV5" s="8">
        <f t="shared" si="33"/>
        <v>5643.8820575200007</v>
      </c>
      <c r="BW5" s="8">
        <f t="shared" si="34"/>
        <v>4074.0985919200002</v>
      </c>
      <c r="BX5" s="8">
        <f t="shared" si="35"/>
        <v>5065.4232316799998</v>
      </c>
      <c r="BY5" s="8">
        <f t="shared" si="36"/>
        <v>5227.5065651200011</v>
      </c>
      <c r="BZ5" s="8">
        <f t="shared" si="37"/>
        <v>1073.3234915200001</v>
      </c>
      <c r="CA5" s="8">
        <f t="shared" si="38"/>
        <v>2729.9714995000004</v>
      </c>
      <c r="CB5" s="8"/>
      <c r="CC5" s="5" t="s">
        <v>7</v>
      </c>
      <c r="CD5" s="5">
        <f t="shared" si="46"/>
        <v>0.61905524228110564</v>
      </c>
      <c r="CE5" s="5">
        <f t="shared" si="47"/>
        <v>0.63035154807389682</v>
      </c>
      <c r="CF5" s="5">
        <f t="shared" si="48"/>
        <v>0.76172862409403663</v>
      </c>
      <c r="CG5" s="5">
        <f t="shared" si="49"/>
        <v>0.72098143135271231</v>
      </c>
      <c r="CH5" s="5">
        <f t="shared" si="50"/>
        <v>0.73151763136617931</v>
      </c>
      <c r="CI5" s="5">
        <f t="shared" si="51"/>
        <v>0.72976106590188872</v>
      </c>
      <c r="CJ5" s="5">
        <f t="shared" si="52"/>
        <v>0.57152745509689196</v>
      </c>
      <c r="CK5" s="5">
        <f t="shared" si="53"/>
        <v>0.62662652748581282</v>
      </c>
      <c r="CN5" s="5" t="s">
        <v>7</v>
      </c>
      <c r="CO5" s="5">
        <f t="shared" si="54"/>
        <v>0.58935316709253349</v>
      </c>
      <c r="CP5" s="5">
        <f t="shared" si="55"/>
        <v>0.59926918063174084</v>
      </c>
      <c r="CQ5" s="5">
        <f t="shared" si="56"/>
        <v>0.71447027513142136</v>
      </c>
      <c r="CR5" s="5">
        <f t="shared" si="57"/>
        <v>0.67863835464856836</v>
      </c>
      <c r="CS5" s="5">
        <f t="shared" si="58"/>
        <v>0.68801338454028904</v>
      </c>
      <c r="CT5" s="5">
        <f t="shared" si="59"/>
        <v>0.68651180168227754</v>
      </c>
      <c r="CU5" s="5">
        <f t="shared" si="60"/>
        <v>0.5477298509090951</v>
      </c>
      <c r="CV5" s="5">
        <f t="shared" si="61"/>
        <v>0.59609499905618113</v>
      </c>
    </row>
    <row r="6" spans="1:100" ht="15.75" x14ac:dyDescent="0.15">
      <c r="A6" s="5" t="s">
        <v>8</v>
      </c>
      <c r="B6" s="6"/>
      <c r="C6" s="6"/>
      <c r="D6" s="58">
        <v>242.9</v>
      </c>
      <c r="E6" s="59">
        <v>1.37</v>
      </c>
      <c r="F6" s="59">
        <v>1.04</v>
      </c>
      <c r="G6" s="20">
        <v>12.52</v>
      </c>
      <c r="H6" s="60">
        <v>16.41</v>
      </c>
      <c r="I6" s="59">
        <v>17.690000000000001</v>
      </c>
      <c r="J6" s="67">
        <v>2.35</v>
      </c>
      <c r="K6" s="13">
        <v>0.05</v>
      </c>
      <c r="L6" s="5" t="s">
        <v>8</v>
      </c>
      <c r="M6" s="8">
        <f t="shared" ref="M6:R6" si="66">M16*0.4*M21*8760/1000000</f>
        <v>16679.208703584001</v>
      </c>
      <c r="N6" s="8">
        <f t="shared" si="66"/>
        <v>19536.802663896004</v>
      </c>
      <c r="O6" s="8">
        <f t="shared" si="66"/>
        <v>47274.238544736007</v>
      </c>
      <c r="P6" s="8">
        <f t="shared" si="66"/>
        <v>34125.431170656004</v>
      </c>
      <c r="Q6" s="8">
        <f t="shared" si="66"/>
        <v>42428.956477824002</v>
      </c>
      <c r="R6" s="8">
        <f t="shared" si="66"/>
        <v>43786.597564416006</v>
      </c>
      <c r="S6" s="8">
        <f>S16*0.4*S21*8760/1000000</f>
        <v>8990.3634159360008</v>
      </c>
      <c r="T6" s="8">
        <f>T16*0.4*T21*8760/1000000</f>
        <v>22866.764856600006</v>
      </c>
      <c r="U6" s="8"/>
      <c r="W6" s="5" t="s">
        <v>8</v>
      </c>
      <c r="X6" s="9">
        <f t="shared" ref="X6:AE6" si="67">M21*0.4*M16/1000000/X15</f>
        <v>0.346185319709091</v>
      </c>
      <c r="Y6" s="9">
        <f t="shared" si="67"/>
        <v>0.3410135496330276</v>
      </c>
      <c r="Z6" s="9">
        <f t="shared" si="67"/>
        <v>0.38547161240000005</v>
      </c>
      <c r="AA6" s="9">
        <f t="shared" si="67"/>
        <v>0.45830554889411773</v>
      </c>
      <c r="AB6" s="9">
        <f t="shared" si="67"/>
        <v>0.34596344160000003</v>
      </c>
      <c r="AC6" s="9">
        <f t="shared" si="67"/>
        <v>0.31240437760000006</v>
      </c>
      <c r="AD6" s="9">
        <f t="shared" si="67"/>
        <v>0.28508255377777786</v>
      </c>
      <c r="AE6" s="9">
        <f t="shared" si="67"/>
        <v>0.26103612850000002</v>
      </c>
      <c r="AF6" s="9"/>
      <c r="AI6" s="9">
        <f t="shared" si="2"/>
        <v>0.89740274134554987</v>
      </c>
      <c r="AJ6" s="62">
        <f t="shared" si="3"/>
        <v>0.94482758620689666</v>
      </c>
      <c r="AK6" s="62">
        <f t="shared" si="4"/>
        <v>0.78787878787878785</v>
      </c>
      <c r="AL6" s="62">
        <f t="shared" si="5"/>
        <v>0.35884207509314986</v>
      </c>
      <c r="AM6" s="9">
        <f t="shared" si="6"/>
        <v>0.64708201892744477</v>
      </c>
      <c r="AN6" s="9">
        <f t="shared" si="7"/>
        <v>0.95518358531317504</v>
      </c>
      <c r="AO6" s="9">
        <f t="shared" si="43"/>
        <v>0.65642458100558665</v>
      </c>
      <c r="AP6" s="9">
        <f t="shared" si="44"/>
        <v>0.38461538461538464</v>
      </c>
      <c r="AQ6" s="11"/>
      <c r="AR6" s="11">
        <f t="shared" si="8"/>
        <v>0.31661969102648119</v>
      </c>
      <c r="AS6" s="11">
        <f t="shared" si="9"/>
        <v>0.37086510115788079</v>
      </c>
      <c r="AT6" s="11">
        <f t="shared" si="10"/>
        <v>0.89740197317215598</v>
      </c>
      <c r="AU6" s="11">
        <f t="shared" si="11"/>
        <v>0.6477995248705557</v>
      </c>
      <c r="AV6" s="11">
        <f t="shared" si="12"/>
        <v>0.80542448561711499</v>
      </c>
      <c r="AW6" s="11">
        <f t="shared" si="13"/>
        <v>0.83119644572630469</v>
      </c>
      <c r="AX6" s="11">
        <f t="shared" si="14"/>
        <v>0.17066313741597222</v>
      </c>
      <c r="AY6" s="11">
        <f t="shared" si="15"/>
        <v>0.43407742851231051</v>
      </c>
      <c r="BA6" s="9">
        <f t="shared" si="16"/>
        <v>0.67879474452762945</v>
      </c>
      <c r="BB6" s="9">
        <f t="shared" si="17"/>
        <v>0.66865401888828946</v>
      </c>
      <c r="BC6" s="9">
        <f t="shared" si="18"/>
        <v>0.75582669098039224</v>
      </c>
      <c r="BD6" s="9">
        <f t="shared" si="19"/>
        <v>0.89863833116493674</v>
      </c>
      <c r="BE6" s="9">
        <f t="shared" si="20"/>
        <v>0.67835968941176472</v>
      </c>
      <c r="BF6" s="9">
        <f t="shared" si="21"/>
        <v>0.61255760313725505</v>
      </c>
      <c r="BG6" s="9">
        <f t="shared" si="22"/>
        <v>0.55898539956427029</v>
      </c>
      <c r="BH6" s="9">
        <f t="shared" si="23"/>
        <v>0.5118355460784314</v>
      </c>
      <c r="BI6" s="5" t="s">
        <v>8</v>
      </c>
      <c r="BJ6" s="10">
        <f t="shared" si="45"/>
        <v>0.65618042306135593</v>
      </c>
      <c r="BK6" s="10">
        <f t="shared" si="24"/>
        <v>0.66589359437524842</v>
      </c>
      <c r="BL6" s="10">
        <f t="shared" si="25"/>
        <v>0.80078144178931354</v>
      </c>
      <c r="BM6" s="10">
        <f t="shared" si="26"/>
        <v>0.77714465236337671</v>
      </c>
      <c r="BN6" s="10">
        <f t="shared" si="27"/>
        <v>0.76358112118367516</v>
      </c>
      <c r="BO6" s="10">
        <f t="shared" si="28"/>
        <v>0.75484029551357912</v>
      </c>
      <c r="BP6" s="10">
        <f t="shared" si="29"/>
        <v>0.59779065510282237</v>
      </c>
      <c r="BQ6" s="10">
        <f t="shared" si="30"/>
        <v>0.64541598123061794</v>
      </c>
      <c r="BT6" s="8">
        <f t="shared" si="31"/>
        <v>1904.0192584000001</v>
      </c>
      <c r="BU6" s="8">
        <f t="shared" si="32"/>
        <v>2230.2286146000006</v>
      </c>
      <c r="BV6" s="8">
        <f t="shared" si="33"/>
        <v>5396.6025736000011</v>
      </c>
      <c r="BW6" s="8">
        <f t="shared" si="34"/>
        <v>3895.5971656000002</v>
      </c>
      <c r="BX6" s="8">
        <f t="shared" si="35"/>
        <v>4843.4881823999995</v>
      </c>
      <c r="BY6" s="8">
        <f t="shared" si="36"/>
        <v>4998.4700416000014</v>
      </c>
      <c r="BZ6" s="8">
        <f t="shared" si="37"/>
        <v>1026.2971936000001</v>
      </c>
      <c r="CA6" s="8">
        <f t="shared" si="38"/>
        <v>2610.3612850000009</v>
      </c>
      <c r="CB6" s="8"/>
      <c r="CC6" s="5" t="s">
        <v>8</v>
      </c>
      <c r="CD6" s="5">
        <f t="shared" si="46"/>
        <v>0.58333895902609612</v>
      </c>
      <c r="CE6" s="5">
        <f t="shared" si="47"/>
        <v>0.59414033160834623</v>
      </c>
      <c r="CF6" s="5">
        <f t="shared" si="48"/>
        <v>0.71967367958020767</v>
      </c>
      <c r="CG6" s="5">
        <f t="shared" si="49"/>
        <v>0.68071177304606723</v>
      </c>
      <c r="CH6" s="5">
        <f t="shared" si="50"/>
        <v>0.69078634291289842</v>
      </c>
      <c r="CI6" s="5">
        <f t="shared" si="51"/>
        <v>0.68910673912092024</v>
      </c>
      <c r="CJ6" s="5">
        <f t="shared" si="52"/>
        <v>0.53780593187558057</v>
      </c>
      <c r="CK6" s="5">
        <f t="shared" si="53"/>
        <v>0.59049090878094157</v>
      </c>
      <c r="CN6" s="5" t="s">
        <v>8</v>
      </c>
      <c r="CO6" s="5">
        <f t="shared" si="54"/>
        <v>0.5380358431970137</v>
      </c>
      <c r="CP6" s="5">
        <f t="shared" si="55"/>
        <v>0.54751739926784571</v>
      </c>
      <c r="CQ6" s="5">
        <f t="shared" si="56"/>
        <v>0.65759466157533863</v>
      </c>
      <c r="CR6" s="5">
        <f t="shared" si="57"/>
        <v>0.62333267092350619</v>
      </c>
      <c r="CS6" s="5">
        <f t="shared" si="58"/>
        <v>0.63229694585441565</v>
      </c>
      <c r="CT6" s="5">
        <f t="shared" si="59"/>
        <v>0.63086115293148926</v>
      </c>
      <c r="CU6" s="5">
        <f t="shared" si="60"/>
        <v>0.4981597560775507</v>
      </c>
      <c r="CV6" s="5">
        <f t="shared" si="61"/>
        <v>0.54440584703108841</v>
      </c>
    </row>
    <row r="7" spans="1:100" ht="15.75" x14ac:dyDescent="0.15">
      <c r="A7" s="5" t="s">
        <v>9</v>
      </c>
      <c r="B7" s="6"/>
      <c r="C7" s="6"/>
      <c r="D7" s="58">
        <v>248.57</v>
      </c>
      <c r="E7" s="59">
        <v>1.35</v>
      </c>
      <c r="F7" s="59">
        <v>1.04</v>
      </c>
      <c r="G7" s="20">
        <v>17.25</v>
      </c>
      <c r="H7" s="60">
        <v>12.1</v>
      </c>
      <c r="I7" s="59">
        <v>17.899999999999999</v>
      </c>
      <c r="J7" s="67">
        <v>2.58</v>
      </c>
      <c r="K7" s="13">
        <v>0.05</v>
      </c>
      <c r="L7" s="5" t="s">
        <v>9</v>
      </c>
      <c r="M7" s="8">
        <f t="shared" ref="M7:R7" si="68">M16*0.4*M22*8760/1000000</f>
        <v>17068.550462947202</v>
      </c>
      <c r="N7" s="8">
        <f t="shared" si="68"/>
        <v>19992.849066136801</v>
      </c>
      <c r="O7" s="8">
        <f t="shared" si="68"/>
        <v>48377.758234108798</v>
      </c>
      <c r="P7" s="8">
        <f t="shared" si="68"/>
        <v>34922.019045244808</v>
      </c>
      <c r="Q7" s="8">
        <f t="shared" si="68"/>
        <v>43419.373041139195</v>
      </c>
      <c r="R7" s="8">
        <f t="shared" si="68"/>
        <v>44808.705461452802</v>
      </c>
      <c r="S7" s="8">
        <f>S16*0.4*S22*8760/1000000</f>
        <v>9200.2249250688001</v>
      </c>
      <c r="T7" s="8">
        <f>T16*0.4*T22*8760/1000000</f>
        <v>23400.542364780002</v>
      </c>
      <c r="U7" s="8"/>
      <c r="W7" s="5" t="s">
        <v>9</v>
      </c>
      <c r="X7" s="9">
        <f t="shared" ref="X7:AE7" si="69">M22*0.4*M16/1000000/X15</f>
        <v>0.35426630267636361</v>
      </c>
      <c r="Y7" s="9">
        <f t="shared" si="69"/>
        <v>0.34897380828440366</v>
      </c>
      <c r="Z7" s="9">
        <f t="shared" si="69"/>
        <v>0.39446965291999997</v>
      </c>
      <c r="AA7" s="9">
        <f t="shared" si="69"/>
        <v>0.46900374758588237</v>
      </c>
      <c r="AB7" s="9">
        <f t="shared" si="69"/>
        <v>0.35403924527999997</v>
      </c>
      <c r="AC7" s="9">
        <f t="shared" si="69"/>
        <v>0.31969681408</v>
      </c>
      <c r="AD7" s="9">
        <f t="shared" si="69"/>
        <v>0.29173721857777779</v>
      </c>
      <c r="AE7" s="9">
        <f t="shared" si="69"/>
        <v>0.26712947905000001</v>
      </c>
      <c r="AF7" s="9"/>
      <c r="AI7" s="9">
        <f t="shared" si="2"/>
        <v>0.91835075922710308</v>
      </c>
      <c r="AJ7" s="62">
        <f t="shared" si="3"/>
        <v>0.93103448275862077</v>
      </c>
      <c r="AK7" s="62">
        <f t="shared" si="4"/>
        <v>0.78787878787878785</v>
      </c>
      <c r="AL7" s="62">
        <f t="shared" si="5"/>
        <v>0.49441100601891658</v>
      </c>
      <c r="AM7" s="9">
        <f t="shared" si="6"/>
        <v>0.47712933753943215</v>
      </c>
      <c r="AN7" s="9">
        <f t="shared" si="7"/>
        <v>0.96652267818574511</v>
      </c>
      <c r="AO7" s="9">
        <f t="shared" si="43"/>
        <v>0.72067039106145248</v>
      </c>
      <c r="AP7" s="9">
        <f t="shared" si="44"/>
        <v>0.38461538461538464</v>
      </c>
      <c r="AQ7" s="11"/>
      <c r="AR7" s="11">
        <f t="shared" si="8"/>
        <v>0.32401052531269009</v>
      </c>
      <c r="AS7" s="11">
        <f t="shared" si="9"/>
        <v>0.3795221827699235</v>
      </c>
      <c r="AT7" s="11">
        <f t="shared" si="10"/>
        <v>0.91834997312228395</v>
      </c>
      <c r="AU7" s="11">
        <f t="shared" si="11"/>
        <v>0.66292106997560329</v>
      </c>
      <c r="AV7" s="11">
        <f t="shared" si="12"/>
        <v>0.82422546064160662</v>
      </c>
      <c r="AW7" s="11">
        <f t="shared" si="13"/>
        <v>0.85059901405593885</v>
      </c>
      <c r="AX7" s="11">
        <f t="shared" si="14"/>
        <v>0.17464691670435659</v>
      </c>
      <c r="AY7" s="11">
        <f t="shared" si="15"/>
        <v>0.44421007165625775</v>
      </c>
      <c r="BA7" s="9">
        <f t="shared" si="16"/>
        <v>0.69463980916934043</v>
      </c>
      <c r="BB7" s="9">
        <f t="shared" si="17"/>
        <v>0.68426236918510519</v>
      </c>
      <c r="BC7" s="9">
        <f t="shared" si="18"/>
        <v>0.77346990768627444</v>
      </c>
      <c r="BD7" s="9">
        <f t="shared" si="19"/>
        <v>0.91961519134486736</v>
      </c>
      <c r="BE7" s="9">
        <f t="shared" si="20"/>
        <v>0.69419459858823518</v>
      </c>
      <c r="BF7" s="9">
        <f t="shared" si="21"/>
        <v>0.62685649819607847</v>
      </c>
      <c r="BG7" s="9">
        <f t="shared" si="22"/>
        <v>0.57203376191721134</v>
      </c>
      <c r="BH7" s="9">
        <f t="shared" si="23"/>
        <v>0.52378329225490194</v>
      </c>
      <c r="BI7" s="5" t="s">
        <v>9</v>
      </c>
      <c r="BJ7" s="10">
        <f t="shared" si="45"/>
        <v>0.66705658650817379</v>
      </c>
      <c r="BK7" s="10">
        <f t="shared" si="24"/>
        <v>0.67699649179221766</v>
      </c>
      <c r="BL7" s="10">
        <f t="shared" si="25"/>
        <v>0.81503927916032859</v>
      </c>
      <c r="BM7" s="10">
        <f t="shared" si="26"/>
        <v>0.79085073758929059</v>
      </c>
      <c r="BN7" s="10">
        <f t="shared" si="27"/>
        <v>0.77697059372210886</v>
      </c>
      <c r="BO7" s="10">
        <f t="shared" si="28"/>
        <v>0.76802573148737963</v>
      </c>
      <c r="BP7" s="10">
        <f t="shared" si="29"/>
        <v>0.60731009082495968</v>
      </c>
      <c r="BQ7" s="10">
        <f t="shared" si="30"/>
        <v>0.65604713205833209</v>
      </c>
      <c r="BT7" s="8">
        <f t="shared" si="31"/>
        <v>1948.4646647200002</v>
      </c>
      <c r="BU7" s="8">
        <f t="shared" si="32"/>
        <v>2282.2887061800002</v>
      </c>
      <c r="BV7" s="8">
        <f t="shared" si="33"/>
        <v>5522.5751408799997</v>
      </c>
      <c r="BW7" s="8">
        <f t="shared" si="34"/>
        <v>3986.5318544800007</v>
      </c>
      <c r="BX7" s="8">
        <f t="shared" si="35"/>
        <v>4956.5494339199995</v>
      </c>
      <c r="BY7" s="8">
        <f t="shared" si="36"/>
        <v>5115.1490252800004</v>
      </c>
      <c r="BZ7" s="8">
        <f t="shared" si="37"/>
        <v>1050.25398688</v>
      </c>
      <c r="CA7" s="8">
        <f t="shared" si="38"/>
        <v>2671.2947905000001</v>
      </c>
      <c r="CB7" s="8"/>
      <c r="CC7" s="5" t="s">
        <v>9</v>
      </c>
      <c r="CD7" s="5">
        <f t="shared" si="46"/>
        <v>0.59251478858621187</v>
      </c>
      <c r="CE7" s="5">
        <f t="shared" si="47"/>
        <v>0.60356829695496406</v>
      </c>
      <c r="CF7" s="5">
        <f t="shared" si="48"/>
        <v>0.73203822336651436</v>
      </c>
      <c r="CG7" s="5">
        <f t="shared" si="49"/>
        <v>0.69216683140607282</v>
      </c>
      <c r="CH7" s="5">
        <f t="shared" si="50"/>
        <v>0.70247657134760533</v>
      </c>
      <c r="CI7" s="5">
        <f t="shared" si="51"/>
        <v>0.70075776066595841</v>
      </c>
      <c r="CJ7" s="5">
        <f t="shared" si="52"/>
        <v>0.54592514783362367</v>
      </c>
      <c r="CK7" s="5">
        <f t="shared" si="53"/>
        <v>0.59983994696645859</v>
      </c>
      <c r="CN7" s="5" t="s">
        <v>9</v>
      </c>
      <c r="CO7" s="5">
        <f t="shared" si="54"/>
        <v>0.55454557085945433</v>
      </c>
      <c r="CP7" s="5">
        <f t="shared" si="55"/>
        <v>0.56424845431983595</v>
      </c>
      <c r="CQ7" s="5">
        <f t="shared" si="56"/>
        <v>0.67690070661202828</v>
      </c>
      <c r="CR7" s="5">
        <f t="shared" si="57"/>
        <v>0.6418389403859025</v>
      </c>
      <c r="CS7" s="5">
        <f t="shared" si="58"/>
        <v>0.65101246784401756</v>
      </c>
      <c r="CT7" s="5">
        <f t="shared" si="59"/>
        <v>0.6495431592937837</v>
      </c>
      <c r="CU7" s="5">
        <f t="shared" si="60"/>
        <v>0.51374412176400386</v>
      </c>
      <c r="CV7" s="5">
        <f t="shared" si="61"/>
        <v>0.5610697324199152</v>
      </c>
    </row>
    <row r="8" spans="1:100" ht="15.75" x14ac:dyDescent="0.15">
      <c r="A8" s="5" t="s">
        <v>77</v>
      </c>
      <c r="B8" s="6"/>
      <c r="C8" s="6"/>
      <c r="D8" s="58">
        <v>252.29</v>
      </c>
      <c r="E8" s="59">
        <v>1.35</v>
      </c>
      <c r="F8" s="59">
        <v>1.02</v>
      </c>
      <c r="G8" s="20">
        <v>24.29</v>
      </c>
      <c r="H8" s="60">
        <v>25.36</v>
      </c>
      <c r="I8" s="59">
        <v>18.04</v>
      </c>
      <c r="J8" s="67">
        <v>2.61</v>
      </c>
      <c r="K8" s="13">
        <v>0.04</v>
      </c>
      <c r="L8" s="5" t="s">
        <v>77</v>
      </c>
      <c r="M8" s="8">
        <f t="shared" ref="M8:R8" si="70">M16*0.4*M23*8760/1000000</f>
        <v>17323.991617238404</v>
      </c>
      <c r="N8" s="8">
        <f t="shared" si="70"/>
        <v>20292.0541131096</v>
      </c>
      <c r="O8" s="8">
        <f t="shared" si="70"/>
        <v>49101.760569993596</v>
      </c>
      <c r="P8" s="8">
        <f t="shared" si="70"/>
        <v>35444.648126985601</v>
      </c>
      <c r="Q8" s="8">
        <f t="shared" si="70"/>
        <v>44069.170151462393</v>
      </c>
      <c r="R8" s="8">
        <f t="shared" si="70"/>
        <v>45479.294769561609</v>
      </c>
      <c r="S8" s="8">
        <f>S16*0.4*S23*8760/1000000</f>
        <v>9337.9118411136005</v>
      </c>
      <c r="T8" s="8">
        <f>T16*0.4*T23*8760/1000000</f>
        <v>23750.745597660003</v>
      </c>
      <c r="U8" s="8"/>
      <c r="W8" s="5" t="s">
        <v>77</v>
      </c>
      <c r="X8" s="9">
        <f t="shared" ref="X8:AE8" si="71">M23*0.4*M16/1000000/X15</f>
        <v>0.3595681116072727</v>
      </c>
      <c r="Y8" s="9">
        <f t="shared" si="71"/>
        <v>0.35419641184403666</v>
      </c>
      <c r="Z8" s="9">
        <f t="shared" si="71"/>
        <v>0.40037312923999996</v>
      </c>
      <c r="AA8" s="9">
        <f t="shared" si="71"/>
        <v>0.47602267159529416</v>
      </c>
      <c r="AB8" s="9">
        <f t="shared" si="71"/>
        <v>0.35933765616000002</v>
      </c>
      <c r="AC8" s="9">
        <f t="shared" si="71"/>
        <v>0.32448126975999997</v>
      </c>
      <c r="AD8" s="9">
        <f t="shared" si="71"/>
        <v>0.29610324204444444</v>
      </c>
      <c r="AE8" s="9">
        <f t="shared" si="71"/>
        <v>0.27112723284999996</v>
      </c>
      <c r="AF8" s="9"/>
      <c r="AI8" s="9">
        <f t="shared" si="2"/>
        <v>0.93209443233457712</v>
      </c>
      <c r="AJ8" s="62">
        <f t="shared" si="3"/>
        <v>0.93103448275862077</v>
      </c>
      <c r="AK8" s="62">
        <f t="shared" si="4"/>
        <v>0.77272727272727271</v>
      </c>
      <c r="AL8" s="62">
        <f t="shared" si="5"/>
        <v>0.69618801948982512</v>
      </c>
      <c r="AM8" s="9">
        <f t="shared" si="6"/>
        <v>1</v>
      </c>
      <c r="AN8" s="9">
        <f t="shared" si="7"/>
        <v>0.97408207343412523</v>
      </c>
      <c r="AO8" s="9">
        <f t="shared" si="43"/>
        <v>0.72905027932960886</v>
      </c>
      <c r="AP8" s="9">
        <f t="shared" si="44"/>
        <v>0.30769230769230771</v>
      </c>
      <c r="AQ8" s="11"/>
      <c r="AR8" s="11">
        <f t="shared" si="8"/>
        <v>0.3288595382835362</v>
      </c>
      <c r="AS8" s="11">
        <f t="shared" si="9"/>
        <v>0.38520196118205735</v>
      </c>
      <c r="AT8" s="11">
        <f t="shared" si="10"/>
        <v>0.9320936344652252</v>
      </c>
      <c r="AU8" s="11">
        <f t="shared" si="11"/>
        <v>0.67284208369531695</v>
      </c>
      <c r="AV8" s="11">
        <f t="shared" si="12"/>
        <v>0.83656049187460646</v>
      </c>
      <c r="AW8" s="11">
        <f t="shared" si="13"/>
        <v>0.86332874142564608</v>
      </c>
      <c r="AX8" s="11">
        <f t="shared" si="14"/>
        <v>0.1772606131686934</v>
      </c>
      <c r="AY8" s="11">
        <f t="shared" si="15"/>
        <v>0.45085794334858298</v>
      </c>
      <c r="BA8" s="9">
        <f t="shared" si="16"/>
        <v>0.70503551295543665</v>
      </c>
      <c r="BB8" s="9">
        <f t="shared" si="17"/>
        <v>0.69450276832164048</v>
      </c>
      <c r="BC8" s="9">
        <f t="shared" si="18"/>
        <v>0.78504535145098031</v>
      </c>
      <c r="BD8" s="9">
        <f t="shared" si="19"/>
        <v>0.93337778744175326</v>
      </c>
      <c r="BE8" s="9">
        <f t="shared" si="20"/>
        <v>0.70458363952941183</v>
      </c>
      <c r="BF8" s="9">
        <f t="shared" si="21"/>
        <v>0.63623778384313723</v>
      </c>
      <c r="BG8" s="9">
        <f t="shared" si="22"/>
        <v>0.58059459224400867</v>
      </c>
      <c r="BH8" s="9">
        <f t="shared" si="23"/>
        <v>0.53162202519607837</v>
      </c>
      <c r="BI8" s="5" t="s">
        <v>77</v>
      </c>
      <c r="BJ8" s="10">
        <f t="shared" si="45"/>
        <v>0.72756083073462441</v>
      </c>
      <c r="BK8" s="10">
        <f t="shared" si="24"/>
        <v>0.73764949269749769</v>
      </c>
      <c r="BL8" s="10">
        <f t="shared" si="25"/>
        <v>0.87778485442699328</v>
      </c>
      <c r="BM8" s="10">
        <f t="shared" si="26"/>
        <v>0.85323431673959282</v>
      </c>
      <c r="BN8" s="10">
        <f t="shared" si="27"/>
        <v>0.83914644814623363</v>
      </c>
      <c r="BO8" s="10">
        <f t="shared" si="28"/>
        <v>0.83006772065216827</v>
      </c>
      <c r="BP8" s="10">
        <f t="shared" si="29"/>
        <v>0.66694687347542947</v>
      </c>
      <c r="BQ8" s="10">
        <f t="shared" si="30"/>
        <v>0.71641329393150843</v>
      </c>
      <c r="BT8" s="8">
        <f t="shared" si="31"/>
        <v>1977.6246138400004</v>
      </c>
      <c r="BU8" s="8">
        <f t="shared" si="32"/>
        <v>2316.44453346</v>
      </c>
      <c r="BV8" s="8">
        <f t="shared" si="33"/>
        <v>5605.223809359999</v>
      </c>
      <c r="BW8" s="8">
        <f t="shared" si="34"/>
        <v>4046.1927085600005</v>
      </c>
      <c r="BX8" s="8">
        <f t="shared" si="35"/>
        <v>5030.7271862399994</v>
      </c>
      <c r="BY8" s="8">
        <f t="shared" si="36"/>
        <v>5191.7003161600014</v>
      </c>
      <c r="BZ8" s="8">
        <f t="shared" si="37"/>
        <v>1065.9716713600001</v>
      </c>
      <c r="CA8" s="8">
        <f t="shared" si="38"/>
        <v>2711.2723285000002</v>
      </c>
      <c r="CB8" s="8"/>
      <c r="CC8" s="5" t="s">
        <v>77</v>
      </c>
      <c r="CD8" s="5">
        <f t="shared" si="46"/>
        <v>0.65190346983937664</v>
      </c>
      <c r="CE8" s="5">
        <f t="shared" si="47"/>
        <v>0.6631224006289026</v>
      </c>
      <c r="CF8" s="5">
        <f t="shared" si="48"/>
        <v>0.79354163776278863</v>
      </c>
      <c r="CG8" s="5">
        <f t="shared" si="49"/>
        <v>0.75307354636921819</v>
      </c>
      <c r="CH8" s="5">
        <f t="shared" si="50"/>
        <v>0.76353757778833242</v>
      </c>
      <c r="CI8" s="5">
        <f t="shared" si="51"/>
        <v>0.76179304406796111</v>
      </c>
      <c r="CJ8" s="5">
        <f t="shared" si="52"/>
        <v>0.60464326778172484</v>
      </c>
      <c r="CK8" s="5">
        <f t="shared" si="53"/>
        <v>0.65936493440771726</v>
      </c>
      <c r="CN8" s="5" t="s">
        <v>77</v>
      </c>
      <c r="CO8" s="5">
        <f t="shared" si="54"/>
        <v>0.6075674112712367</v>
      </c>
      <c r="CP8" s="5">
        <f t="shared" si="55"/>
        <v>0.61741550423587321</v>
      </c>
      <c r="CQ8" s="5">
        <f t="shared" si="56"/>
        <v>0.73177694572437624</v>
      </c>
      <c r="CR8" s="5">
        <f t="shared" si="57"/>
        <v>0.69619045901564514</v>
      </c>
      <c r="CS8" s="5">
        <f t="shared" si="58"/>
        <v>0.70550127384610684</v>
      </c>
      <c r="CT8" s="5">
        <f t="shared" si="59"/>
        <v>0.70400997620705752</v>
      </c>
      <c r="CU8" s="5">
        <f t="shared" si="60"/>
        <v>0.56617862415979447</v>
      </c>
      <c r="CV8" s="5">
        <f t="shared" si="61"/>
        <v>0.61421249112837428</v>
      </c>
    </row>
    <row r="9" spans="1:100" ht="15.75" x14ac:dyDescent="0.15">
      <c r="A9" s="5" t="s">
        <v>10</v>
      </c>
      <c r="B9" s="6"/>
      <c r="C9" s="6"/>
      <c r="D9" s="58">
        <v>240.9</v>
      </c>
      <c r="E9" s="59">
        <v>1.34</v>
      </c>
      <c r="F9" s="59">
        <v>1.1000000000000001</v>
      </c>
      <c r="G9" s="20">
        <v>16.010000000000002</v>
      </c>
      <c r="H9" s="60">
        <v>11.32</v>
      </c>
      <c r="I9" s="59">
        <v>17.899999999999999</v>
      </c>
      <c r="J9" s="67">
        <v>2.2000000000000002</v>
      </c>
      <c r="K9" s="13">
        <v>0.04</v>
      </c>
      <c r="L9" s="5" t="s">
        <v>10</v>
      </c>
      <c r="M9" s="8">
        <f t="shared" ref="M9:R9" si="72">M16*0.4*M24*8760/1000000</f>
        <v>16541.874749664003</v>
      </c>
      <c r="N9" s="8">
        <f t="shared" si="72"/>
        <v>19375.939735415999</v>
      </c>
      <c r="O9" s="8">
        <f t="shared" si="72"/>
        <v>46884.989977056008</v>
      </c>
      <c r="P9" s="8">
        <f t="shared" si="72"/>
        <v>33844.447793376006</v>
      </c>
      <c r="Q9" s="8">
        <f t="shared" si="72"/>
        <v>42079.603192704002</v>
      </c>
      <c r="R9" s="8">
        <f t="shared" si="72"/>
        <v>43426.065678336003</v>
      </c>
      <c r="S9" s="8">
        <f>S16*0.4*S24*8760/1000000</f>
        <v>8916.3381922560002</v>
      </c>
      <c r="T9" s="8">
        <f>T16*0.4*T24*8760/1000000</f>
        <v>22678.483548600001</v>
      </c>
      <c r="U9" s="8"/>
      <c r="W9" s="5" t="s">
        <v>10</v>
      </c>
      <c r="X9" s="9">
        <f t="shared" ref="X9:AE9" si="73">M24*0.4*M16/1000000/X15</f>
        <v>0.34333488480000007</v>
      </c>
      <c r="Y9" s="9">
        <f t="shared" si="73"/>
        <v>0.33820569825688085</v>
      </c>
      <c r="Z9" s="9">
        <f t="shared" si="73"/>
        <v>0.38229770040000005</v>
      </c>
      <c r="AA9" s="9">
        <f t="shared" si="73"/>
        <v>0.45453193383529422</v>
      </c>
      <c r="AB9" s="9">
        <f t="shared" si="73"/>
        <v>0.3431148336</v>
      </c>
      <c r="AC9" s="9">
        <f t="shared" si="73"/>
        <v>0.30983208960000008</v>
      </c>
      <c r="AD9" s="9">
        <f t="shared" si="73"/>
        <v>0.28273522933333339</v>
      </c>
      <c r="AE9" s="9">
        <f t="shared" si="73"/>
        <v>0.25888679850000001</v>
      </c>
      <c r="AF9" s="9"/>
      <c r="AI9" s="9">
        <f t="shared" si="2"/>
        <v>0.89001366978239183</v>
      </c>
      <c r="AJ9" s="62">
        <f t="shared" si="3"/>
        <v>0.92413793103448283</v>
      </c>
      <c r="AK9" s="62">
        <f t="shared" si="4"/>
        <v>0.83333333333333337</v>
      </c>
      <c r="AL9" s="62">
        <f t="shared" si="5"/>
        <v>0.45887073660074523</v>
      </c>
      <c r="AM9" s="9">
        <f t="shared" si="6"/>
        <v>0.44637223974763407</v>
      </c>
      <c r="AN9" s="9">
        <f t="shared" si="7"/>
        <v>0.96652267818574511</v>
      </c>
      <c r="AO9" s="9">
        <f t="shared" si="43"/>
        <v>0.61452513966480449</v>
      </c>
      <c r="AP9" s="9">
        <f t="shared" si="44"/>
        <v>0.30769230769230771</v>
      </c>
      <c r="AQ9" s="11"/>
      <c r="AR9" s="11">
        <f t="shared" si="8"/>
        <v>0.31401269480559618</v>
      </c>
      <c r="AS9" s="11">
        <f t="shared" si="9"/>
        <v>0.36781145685028188</v>
      </c>
      <c r="AT9" s="11">
        <f t="shared" si="10"/>
        <v>0.89001290793401555</v>
      </c>
      <c r="AU9" s="11">
        <f t="shared" si="11"/>
        <v>0.64246564652662363</v>
      </c>
      <c r="AV9" s="11">
        <f t="shared" si="12"/>
        <v>0.79879274839507208</v>
      </c>
      <c r="AW9" s="11">
        <f t="shared" si="13"/>
        <v>0.82435250628022561</v>
      </c>
      <c r="AX9" s="11">
        <f t="shared" si="14"/>
        <v>0.16925792426310296</v>
      </c>
      <c r="AY9" s="11">
        <f t="shared" si="15"/>
        <v>0.43050330394654418</v>
      </c>
      <c r="BA9" s="9">
        <f t="shared" si="16"/>
        <v>0.67320565647058839</v>
      </c>
      <c r="BB9" s="9">
        <f t="shared" si="17"/>
        <v>0.66314842795466833</v>
      </c>
      <c r="BC9" s="9">
        <f t="shared" si="18"/>
        <v>0.74960333411764712</v>
      </c>
      <c r="BD9" s="9">
        <f t="shared" si="19"/>
        <v>0.89123908595155732</v>
      </c>
      <c r="BE9" s="9">
        <f t="shared" si="20"/>
        <v>0.67277418352941176</v>
      </c>
      <c r="BF9" s="9">
        <f t="shared" si="21"/>
        <v>0.60751390117647075</v>
      </c>
      <c r="BG9" s="9">
        <f t="shared" si="22"/>
        <v>0.55438280261437922</v>
      </c>
      <c r="BH9" s="9">
        <f t="shared" si="23"/>
        <v>0.50762117352941183</v>
      </c>
      <c r="BI9" s="5" t="s">
        <v>10</v>
      </c>
      <c r="BJ9" s="10">
        <f t="shared" si="45"/>
        <v>0.65298041598827927</v>
      </c>
      <c r="BK9" s="10">
        <f t="shared" si="24"/>
        <v>0.66261361059312363</v>
      </c>
      <c r="BL9" s="10">
        <f t="shared" si="25"/>
        <v>0.79643015996343336</v>
      </c>
      <c r="BM9" s="10">
        <f t="shared" si="26"/>
        <v>0.77298799210543345</v>
      </c>
      <c r="BN9" s="10">
        <f t="shared" si="27"/>
        <v>0.75953614088604227</v>
      </c>
      <c r="BO9" s="10">
        <f t="shared" si="28"/>
        <v>0.7508672857854819</v>
      </c>
      <c r="BP9" s="10">
        <f t="shared" si="29"/>
        <v>0.59511076715661693</v>
      </c>
      <c r="BQ9" s="10">
        <f t="shared" si="30"/>
        <v>0.6423439539173661</v>
      </c>
      <c r="BT9" s="8">
        <f t="shared" si="31"/>
        <v>1888.3418664000003</v>
      </c>
      <c r="BU9" s="8">
        <f t="shared" si="32"/>
        <v>2211.8652665999998</v>
      </c>
      <c r="BV9" s="8">
        <f t="shared" si="33"/>
        <v>5352.167805600001</v>
      </c>
      <c r="BW9" s="8">
        <f t="shared" si="34"/>
        <v>3863.5214376000008</v>
      </c>
      <c r="BX9" s="8">
        <f t="shared" si="35"/>
        <v>4803.6076703999997</v>
      </c>
      <c r="BY9" s="8">
        <f t="shared" si="36"/>
        <v>4957.3134336000003</v>
      </c>
      <c r="BZ9" s="8">
        <f t="shared" si="37"/>
        <v>1017.8468256</v>
      </c>
      <c r="CA9" s="8">
        <f t="shared" si="38"/>
        <v>2588.8679850000003</v>
      </c>
      <c r="CB9" s="8"/>
      <c r="CC9" s="5" t="s">
        <v>10</v>
      </c>
      <c r="CD9" s="5">
        <f t="shared" si="46"/>
        <v>0.58073871699242041</v>
      </c>
      <c r="CE9" s="5">
        <f t="shared" si="47"/>
        <v>0.59145115278930815</v>
      </c>
      <c r="CF9" s="5">
        <f t="shared" si="48"/>
        <v>0.71599022617926866</v>
      </c>
      <c r="CG9" s="5">
        <f t="shared" si="49"/>
        <v>0.67734912579197182</v>
      </c>
      <c r="CH9" s="5">
        <f t="shared" si="50"/>
        <v>0.68734074325150107</v>
      </c>
      <c r="CI9" s="5">
        <f t="shared" si="51"/>
        <v>0.68567496905023484</v>
      </c>
      <c r="CJ9" s="5">
        <f t="shared" si="52"/>
        <v>0.53561994860806794</v>
      </c>
      <c r="CK9" s="5">
        <f t="shared" si="53"/>
        <v>0.58787112578592504</v>
      </c>
      <c r="CN9" s="5" t="s">
        <v>10</v>
      </c>
      <c r="CO9" s="5">
        <f t="shared" si="54"/>
        <v>0.52942510234029672</v>
      </c>
      <c r="CP9" s="5">
        <f t="shared" si="55"/>
        <v>0.53882858878518525</v>
      </c>
      <c r="CQ9" s="5">
        <f t="shared" si="56"/>
        <v>0.64803382464304871</v>
      </c>
      <c r="CR9" s="5">
        <f t="shared" si="57"/>
        <v>0.61405394177756334</v>
      </c>
      <c r="CS9" s="5">
        <f t="shared" si="58"/>
        <v>0.62294440629323267</v>
      </c>
      <c r="CT9" s="5">
        <f t="shared" si="59"/>
        <v>0.62152043546106728</v>
      </c>
      <c r="CU9" s="5">
        <f t="shared" si="60"/>
        <v>0.48991168082082925</v>
      </c>
      <c r="CV9" s="5">
        <f t="shared" si="61"/>
        <v>0.53577698881056679</v>
      </c>
    </row>
    <row r="10" spans="1:100" ht="15.75" x14ac:dyDescent="0.15">
      <c r="A10" s="5" t="s">
        <v>11</v>
      </c>
      <c r="B10" s="6"/>
      <c r="C10" s="6"/>
      <c r="D10" s="58">
        <v>250.82</v>
      </c>
      <c r="E10" s="59">
        <v>1.36</v>
      </c>
      <c r="F10" s="59">
        <v>0.99</v>
      </c>
      <c r="G10" s="20">
        <v>34.89</v>
      </c>
      <c r="H10" s="60">
        <v>12.74</v>
      </c>
      <c r="I10" s="59">
        <v>18.14</v>
      </c>
      <c r="J10" s="67">
        <v>2.95</v>
      </c>
      <c r="K10" s="13">
        <v>0.1</v>
      </c>
      <c r="L10" s="5" t="s">
        <v>11</v>
      </c>
      <c r="M10" s="8">
        <f t="shared" ref="M10:R10" si="74">M16*0.4*M25*8760/1000000</f>
        <v>17223.0511611072</v>
      </c>
      <c r="N10" s="8">
        <f t="shared" si="74"/>
        <v>20173.819860676798</v>
      </c>
      <c r="O10" s="8">
        <f t="shared" si="74"/>
        <v>48815.662872748799</v>
      </c>
      <c r="P10" s="8">
        <f t="shared" si="74"/>
        <v>35238.125344684806</v>
      </c>
      <c r="Q10" s="8">
        <f t="shared" si="74"/>
        <v>43812.3954868992</v>
      </c>
      <c r="R10" s="8">
        <f t="shared" si="74"/>
        <v>45214.303833292812</v>
      </c>
      <c r="S10" s="8">
        <f>S16*0.4*S25*8760/1000000</f>
        <v>9283.5033017088008</v>
      </c>
      <c r="T10" s="8">
        <f>T16*0.4*T25*8760/1000000</f>
        <v>23612.358836280004</v>
      </c>
      <c r="U10" s="8"/>
      <c r="W10" s="5" t="s">
        <v>11</v>
      </c>
      <c r="X10" s="9">
        <f t="shared" ref="X10:AE10" si="75">M25*0.4*M16/1000000/X15</f>
        <v>0.35747304194909096</v>
      </c>
      <c r="Y10" s="9">
        <f t="shared" si="75"/>
        <v>0.35213264108256881</v>
      </c>
      <c r="Z10" s="9">
        <f t="shared" si="75"/>
        <v>0.39804030391999995</v>
      </c>
      <c r="AA10" s="9">
        <f t="shared" si="75"/>
        <v>0.47324906452705889</v>
      </c>
      <c r="AB10" s="9">
        <f t="shared" si="75"/>
        <v>0.35724392928000004</v>
      </c>
      <c r="AC10" s="9">
        <f t="shared" si="75"/>
        <v>0.32259063807999999</v>
      </c>
      <c r="AD10" s="9">
        <f t="shared" si="75"/>
        <v>0.29437795857777782</v>
      </c>
      <c r="AE10" s="9">
        <f t="shared" si="75"/>
        <v>0.26954747530000001</v>
      </c>
      <c r="AF10" s="9"/>
      <c r="AI10" s="9">
        <f t="shared" si="2"/>
        <v>0.92666346473565586</v>
      </c>
      <c r="AJ10" s="62">
        <f t="shared" si="3"/>
        <v>0.93793103448275872</v>
      </c>
      <c r="AK10" s="62">
        <f t="shared" si="4"/>
        <v>0.75</v>
      </c>
      <c r="AL10" s="62">
        <f t="shared" si="5"/>
        <v>1</v>
      </c>
      <c r="AM10" s="9">
        <f t="shared" si="6"/>
        <v>0.50236593059936907</v>
      </c>
      <c r="AN10" s="9">
        <f t="shared" si="7"/>
        <v>0.97948164146868255</v>
      </c>
      <c r="AO10" s="9">
        <f t="shared" si="43"/>
        <v>0.82402234636871508</v>
      </c>
      <c r="AP10" s="9">
        <f t="shared" si="44"/>
        <v>0.76923076923076927</v>
      </c>
      <c r="AQ10" s="11"/>
      <c r="AR10" s="11">
        <f t="shared" si="8"/>
        <v>0.32694339606118566</v>
      </c>
      <c r="AS10" s="11">
        <f t="shared" si="9"/>
        <v>0.38295753261597215</v>
      </c>
      <c r="AT10" s="11">
        <f t="shared" si="10"/>
        <v>0.92666267151519199</v>
      </c>
      <c r="AU10" s="11">
        <f t="shared" si="11"/>
        <v>0.66892168311252698</v>
      </c>
      <c r="AV10" s="11">
        <f t="shared" si="12"/>
        <v>0.83168616501640502</v>
      </c>
      <c r="AW10" s="11">
        <f t="shared" si="13"/>
        <v>0.85829844593277804</v>
      </c>
      <c r="AX10" s="11">
        <f t="shared" si="14"/>
        <v>0.1762277815013345</v>
      </c>
      <c r="AY10" s="11">
        <f t="shared" si="15"/>
        <v>0.4482309617927448</v>
      </c>
      <c r="BA10" s="9">
        <f t="shared" si="16"/>
        <v>0.70092753323351165</v>
      </c>
      <c r="BB10" s="9">
        <f t="shared" si="17"/>
        <v>0.690456158985429</v>
      </c>
      <c r="BC10" s="9">
        <f t="shared" si="18"/>
        <v>0.78047118415686267</v>
      </c>
      <c r="BD10" s="9">
        <f t="shared" si="19"/>
        <v>0.92793934220991936</v>
      </c>
      <c r="BE10" s="9">
        <f t="shared" si="20"/>
        <v>0.70047829270588247</v>
      </c>
      <c r="BF10" s="9">
        <f t="shared" si="21"/>
        <v>0.63253066290196081</v>
      </c>
      <c r="BG10" s="9">
        <f t="shared" si="22"/>
        <v>0.57721168348583884</v>
      </c>
      <c r="BH10" s="9">
        <f t="shared" si="23"/>
        <v>0.52852446137254905</v>
      </c>
      <c r="BI10" s="5" t="s">
        <v>11</v>
      </c>
      <c r="BJ10" s="10">
        <f t="shared" si="45"/>
        <v>0.72592035312689962</v>
      </c>
      <c r="BK10" s="10">
        <f t="shared" si="24"/>
        <v>0.73595023220862255</v>
      </c>
      <c r="BL10" s="10">
        <f t="shared" si="25"/>
        <v>0.87531297987595802</v>
      </c>
      <c r="BM10" s="10">
        <f t="shared" si="26"/>
        <v>0.85090548904099106</v>
      </c>
      <c r="BN10" s="10">
        <f t="shared" si="27"/>
        <v>0.83689970521846013</v>
      </c>
      <c r="BO10" s="10">
        <f t="shared" si="28"/>
        <v>0.82787387609300345</v>
      </c>
      <c r="BP10" s="10">
        <f t="shared" si="29"/>
        <v>0.66570347342595504</v>
      </c>
      <c r="BQ10" s="10">
        <f t="shared" si="30"/>
        <v>0.7148816714472549</v>
      </c>
      <c r="BT10" s="8">
        <f t="shared" si="31"/>
        <v>1966.10173072</v>
      </c>
      <c r="BU10" s="8">
        <f t="shared" si="32"/>
        <v>2302.9474726799995</v>
      </c>
      <c r="BV10" s="8">
        <f t="shared" si="33"/>
        <v>5572.5642548799997</v>
      </c>
      <c r="BW10" s="8">
        <f t="shared" si="34"/>
        <v>4022.6170484800009</v>
      </c>
      <c r="BX10" s="8">
        <f t="shared" si="35"/>
        <v>5001.4150099199996</v>
      </c>
      <c r="BY10" s="8">
        <f t="shared" si="36"/>
        <v>5161.4502092800012</v>
      </c>
      <c r="BZ10" s="8">
        <f t="shared" si="37"/>
        <v>1059.7606508800002</v>
      </c>
      <c r="CA10" s="8">
        <f t="shared" si="38"/>
        <v>2695.4747530000004</v>
      </c>
      <c r="CB10" s="8"/>
      <c r="CC10" s="5" t="s">
        <v>11</v>
      </c>
      <c r="CD10" s="5">
        <f t="shared" si="46"/>
        <v>0.65070381953561141</v>
      </c>
      <c r="CE10" s="5">
        <f t="shared" si="47"/>
        <v>0.6618573817878961</v>
      </c>
      <c r="CF10" s="5">
        <f t="shared" si="48"/>
        <v>0.7915606171040851</v>
      </c>
      <c r="CG10" s="5">
        <f t="shared" si="49"/>
        <v>0.7513283182284447</v>
      </c>
      <c r="CH10" s="5">
        <f t="shared" si="50"/>
        <v>0.76173137962819193</v>
      </c>
      <c r="CI10" s="5">
        <f t="shared" si="51"/>
        <v>0.75999701065699399</v>
      </c>
      <c r="CJ10" s="5">
        <f t="shared" si="52"/>
        <v>0.60376288767108965</v>
      </c>
      <c r="CK10" s="5">
        <f t="shared" si="53"/>
        <v>0.65816571149736669</v>
      </c>
      <c r="CN10" s="5" t="s">
        <v>11</v>
      </c>
      <c r="CO10" s="5">
        <f t="shared" si="54"/>
        <v>0.66433459868033817</v>
      </c>
      <c r="CP10" s="5">
        <f t="shared" si="55"/>
        <v>0.67412531046990631</v>
      </c>
      <c r="CQ10" s="5">
        <f t="shared" si="56"/>
        <v>0.78785871751793168</v>
      </c>
      <c r="CR10" s="5">
        <f t="shared" si="57"/>
        <v>0.75247958003216553</v>
      </c>
      <c r="CS10" s="5">
        <f t="shared" si="58"/>
        <v>0.76173614420742575</v>
      </c>
      <c r="CT10" s="5">
        <f t="shared" si="59"/>
        <v>0.7602535358050857</v>
      </c>
      <c r="CU10" s="5">
        <f t="shared" si="60"/>
        <v>0.62322527578489262</v>
      </c>
      <c r="CV10" s="5">
        <f t="shared" si="61"/>
        <v>0.67097926727507939</v>
      </c>
    </row>
    <row r="11" spans="1:100" ht="16.5" thickBot="1" x14ac:dyDescent="0.2">
      <c r="A11" s="5" t="s">
        <v>78</v>
      </c>
      <c r="B11" s="6"/>
      <c r="C11" s="6"/>
      <c r="D11" s="58">
        <v>243.36</v>
      </c>
      <c r="E11" s="59">
        <v>1.35</v>
      </c>
      <c r="F11" s="59">
        <v>1.01</v>
      </c>
      <c r="G11" s="20">
        <v>33.9</v>
      </c>
      <c r="H11" s="60">
        <v>20.65</v>
      </c>
      <c r="I11" s="63">
        <v>18.079999999999998</v>
      </c>
      <c r="J11" s="68">
        <v>2.64</v>
      </c>
      <c r="K11" s="70">
        <v>0.03</v>
      </c>
      <c r="L11" s="5" t="s">
        <v>78</v>
      </c>
      <c r="M11" s="8">
        <f t="shared" ref="M11:R11" si="76">M16*0.4*M26*8760/1000000</f>
        <v>16710.795512985602</v>
      </c>
      <c r="N11" s="8">
        <f t="shared" si="76"/>
        <v>19573.8011374464</v>
      </c>
      <c r="O11" s="8">
        <f t="shared" si="76"/>
        <v>47363.765715302412</v>
      </c>
      <c r="P11" s="8">
        <f t="shared" si="76"/>
        <v>34190.057347430404</v>
      </c>
      <c r="Q11" s="8">
        <f t="shared" si="76"/>
        <v>42509.307733401605</v>
      </c>
      <c r="R11" s="8">
        <f t="shared" si="76"/>
        <v>43869.519898214407</v>
      </c>
      <c r="S11" s="8">
        <f>S16*0.4*S26*8760/1000000</f>
        <v>9007.3892173824006</v>
      </c>
      <c r="T11" s="8">
        <f>T16*0.4*T26*8760/1000000</f>
        <v>22910.069557440002</v>
      </c>
      <c r="U11" s="8"/>
      <c r="W11" s="5" t="s">
        <v>78</v>
      </c>
      <c r="X11" s="9">
        <f t="shared" ref="X11:AE11" si="77">M26*0.4*M16/1000000/X15</f>
        <v>0.34684091973818187</v>
      </c>
      <c r="Y11" s="9">
        <f t="shared" si="77"/>
        <v>0.34165935544954135</v>
      </c>
      <c r="Z11" s="9">
        <f t="shared" si="77"/>
        <v>0.38620161215999999</v>
      </c>
      <c r="AA11" s="9">
        <f t="shared" si="77"/>
        <v>0.45917348035764716</v>
      </c>
      <c r="AB11" s="9">
        <f t="shared" si="77"/>
        <v>0.34661862144000005</v>
      </c>
      <c r="AC11" s="9">
        <f t="shared" si="77"/>
        <v>0.31299600384000004</v>
      </c>
      <c r="AD11" s="9">
        <f t="shared" si="77"/>
        <v>0.28562243840000001</v>
      </c>
      <c r="AE11" s="9">
        <f t="shared" si="77"/>
        <v>0.26153047440000005</v>
      </c>
      <c r="AF11" s="9"/>
      <c r="AI11" s="9">
        <f t="shared" si="2"/>
        <v>0.89910222780507632</v>
      </c>
      <c r="AJ11" s="62">
        <f t="shared" si="3"/>
        <v>0.93103448275862077</v>
      </c>
      <c r="AK11" s="62">
        <f t="shared" si="4"/>
        <v>0.76515151515151514</v>
      </c>
      <c r="AL11" s="62">
        <f t="shared" si="5"/>
        <v>0.97162510748065345</v>
      </c>
      <c r="AM11" s="9">
        <f t="shared" si="6"/>
        <v>0.81427444794952675</v>
      </c>
      <c r="AN11" s="9">
        <f t="shared" si="7"/>
        <v>0.97624190064794814</v>
      </c>
      <c r="AO11" s="9">
        <f t="shared" si="43"/>
        <v>0.73743016759776536</v>
      </c>
      <c r="AP11" s="9">
        <f t="shared" si="44"/>
        <v>0.23076923076923075</v>
      </c>
      <c r="AQ11" s="11"/>
      <c r="AR11" s="11">
        <f t="shared" si="8"/>
        <v>0.31721930015728472</v>
      </c>
      <c r="AS11" s="11">
        <f t="shared" si="9"/>
        <v>0.37156743934862851</v>
      </c>
      <c r="AT11" s="11">
        <f t="shared" si="10"/>
        <v>0.89910145817692844</v>
      </c>
      <c r="AU11" s="11">
        <f t="shared" si="11"/>
        <v>0.64902631688966006</v>
      </c>
      <c r="AV11" s="11">
        <f t="shared" si="12"/>
        <v>0.80694978517818494</v>
      </c>
      <c r="AW11" s="11">
        <f t="shared" si="13"/>
        <v>0.83277055179890291</v>
      </c>
      <c r="AX11" s="11">
        <f t="shared" si="14"/>
        <v>0.17098633644113215</v>
      </c>
      <c r="AY11" s="11">
        <f t="shared" si="15"/>
        <v>0.43489947716243665</v>
      </c>
      <c r="BA11" s="9">
        <f t="shared" si="16"/>
        <v>0.68008023478074875</v>
      </c>
      <c r="BB11" s="9">
        <f t="shared" si="17"/>
        <v>0.66992030480302223</v>
      </c>
      <c r="BC11" s="9">
        <f t="shared" si="18"/>
        <v>0.75725806305882348</v>
      </c>
      <c r="BD11" s="9">
        <f t="shared" si="19"/>
        <v>0.90034015756401398</v>
      </c>
      <c r="BE11" s="9">
        <f t="shared" si="20"/>
        <v>0.67964435576470594</v>
      </c>
      <c r="BF11" s="9">
        <f t="shared" si="21"/>
        <v>0.61371765458823535</v>
      </c>
      <c r="BG11" s="9">
        <f t="shared" si="22"/>
        <v>0.56004399686274509</v>
      </c>
      <c r="BH11" s="9">
        <f t="shared" si="23"/>
        <v>0.51280485176470592</v>
      </c>
      <c r="BI11" s="5" t="s">
        <v>78</v>
      </c>
      <c r="BJ11" s="10">
        <f t="shared" si="45"/>
        <v>0.73325085234827414</v>
      </c>
      <c r="BK11" s="10">
        <f t="shared" si="24"/>
        <v>0.7429824183052478</v>
      </c>
      <c r="BL11" s="10">
        <f t="shared" si="25"/>
        <v>0.87815644426937634</v>
      </c>
      <c r="BM11" s="10">
        <f t="shared" si="26"/>
        <v>0.854474891882814</v>
      </c>
      <c r="BN11" s="10">
        <f t="shared" si="27"/>
        <v>0.84088567431224104</v>
      </c>
      <c r="BO11" s="10">
        <f t="shared" si="28"/>
        <v>0.83212829541115196</v>
      </c>
      <c r="BP11" s="10">
        <f t="shared" si="29"/>
        <v>0.67478123699056014</v>
      </c>
      <c r="BQ11" s="10">
        <f t="shared" si="30"/>
        <v>0.72249675517277656</v>
      </c>
      <c r="BT11" s="8">
        <f t="shared" si="31"/>
        <v>1907.6250585600003</v>
      </c>
      <c r="BU11" s="8">
        <f t="shared" si="32"/>
        <v>2234.4521846399998</v>
      </c>
      <c r="BV11" s="8">
        <f t="shared" si="33"/>
        <v>5406.8225702400014</v>
      </c>
      <c r="BW11" s="8">
        <f t="shared" si="34"/>
        <v>3902.9745830400002</v>
      </c>
      <c r="BX11" s="8">
        <f t="shared" si="35"/>
        <v>4852.6607001600005</v>
      </c>
      <c r="BY11" s="8">
        <f t="shared" si="36"/>
        <v>5007.9360614400002</v>
      </c>
      <c r="BZ11" s="8">
        <f t="shared" si="37"/>
        <v>1028.2407782400001</v>
      </c>
      <c r="CA11" s="8">
        <f t="shared" si="38"/>
        <v>2615.3047440000005</v>
      </c>
      <c r="CB11" s="8"/>
      <c r="CC11" s="5" t="s">
        <v>78</v>
      </c>
      <c r="CD11" s="5">
        <f t="shared" si="46"/>
        <v>0.66027144235395197</v>
      </c>
      <c r="CE11" s="5">
        <f t="shared" si="47"/>
        <v>0.67109327039683531</v>
      </c>
      <c r="CF11" s="5">
        <f t="shared" si="48"/>
        <v>0.79689508152253397</v>
      </c>
      <c r="CG11" s="5">
        <f t="shared" si="49"/>
        <v>0.75785938957461974</v>
      </c>
      <c r="CH11" s="5">
        <f t="shared" si="50"/>
        <v>0.76795303849513052</v>
      </c>
      <c r="CI11" s="5">
        <f t="shared" si="51"/>
        <v>0.76627025389728853</v>
      </c>
      <c r="CJ11" s="5">
        <f t="shared" si="52"/>
        <v>0.61468291568721889</v>
      </c>
      <c r="CK11" s="5">
        <f t="shared" si="53"/>
        <v>0.66746766652990597</v>
      </c>
      <c r="CN11" s="5" t="s">
        <v>78</v>
      </c>
      <c r="CO11" s="5">
        <f t="shared" si="54"/>
        <v>0.61903371276819774</v>
      </c>
      <c r="CP11" s="5">
        <f t="shared" si="55"/>
        <v>0.62853322485299667</v>
      </c>
      <c r="CQ11" s="5">
        <f t="shared" si="56"/>
        <v>0.73884576324390427</v>
      </c>
      <c r="CR11" s="5">
        <f t="shared" si="57"/>
        <v>0.70451888780121208</v>
      </c>
      <c r="CS11" s="5">
        <f t="shared" si="58"/>
        <v>0.71350013912762678</v>
      </c>
      <c r="CT11" s="5">
        <f t="shared" si="59"/>
        <v>0.71206162712382537</v>
      </c>
      <c r="CU11" s="5">
        <f t="shared" si="60"/>
        <v>0.57910892256073576</v>
      </c>
      <c r="CV11" s="5">
        <f t="shared" si="61"/>
        <v>0.62544259359594756</v>
      </c>
    </row>
    <row r="12" spans="1:100" ht="15" thickTop="1" x14ac:dyDescent="0.2">
      <c r="X12" s="9"/>
      <c r="Y12" s="9"/>
      <c r="Z12" s="9"/>
      <c r="AA12" s="9"/>
      <c r="AB12" s="9"/>
      <c r="AC12" s="9"/>
      <c r="AD12" s="9"/>
      <c r="AE12" s="9"/>
      <c r="AF12" s="9"/>
      <c r="BA12" s="10"/>
      <c r="BB12" s="10"/>
      <c r="BC12" s="10"/>
      <c r="BD12" s="10"/>
      <c r="BE12" s="10"/>
      <c r="BF12" s="10"/>
      <c r="BG12" s="10"/>
      <c r="BH12" s="10"/>
      <c r="BT12" s="8"/>
      <c r="BU12" s="8"/>
      <c r="BV12" s="8"/>
      <c r="BW12" s="8"/>
      <c r="BX12" s="8"/>
      <c r="BY12" s="8"/>
      <c r="BZ12" s="8"/>
      <c r="CA12" s="8"/>
      <c r="CB12" s="8"/>
      <c r="CC12" s="8"/>
    </row>
    <row r="13" spans="1:100" x14ac:dyDescent="0.2">
      <c r="X13" s="9"/>
      <c r="Y13" s="9"/>
      <c r="Z13" s="9"/>
      <c r="AA13" s="9"/>
      <c r="AB13" s="9"/>
      <c r="AC13" s="9"/>
      <c r="AD13" s="9"/>
      <c r="AE13" s="9"/>
      <c r="AF13" s="9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</row>
    <row r="14" spans="1:100" x14ac:dyDescent="0.2">
      <c r="X14" s="9"/>
      <c r="Y14" s="9"/>
      <c r="Z14" s="9"/>
      <c r="AA14" s="9"/>
      <c r="AB14" s="9"/>
      <c r="AC14" s="9"/>
      <c r="AD14" s="9"/>
      <c r="AE14" s="9"/>
      <c r="AF14" s="9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spans="1:100" ht="15.75" x14ac:dyDescent="0.2">
      <c r="L15" s="7" t="s">
        <v>64</v>
      </c>
      <c r="M15" s="5">
        <v>158</v>
      </c>
      <c r="N15" s="5">
        <v>171</v>
      </c>
      <c r="O15" s="13">
        <v>266</v>
      </c>
      <c r="P15" s="13">
        <v>226</v>
      </c>
      <c r="Q15" s="13">
        <v>252</v>
      </c>
      <c r="R15" s="13">
        <v>256</v>
      </c>
      <c r="S15" s="5">
        <v>116</v>
      </c>
      <c r="T15" s="5">
        <v>185</v>
      </c>
      <c r="W15" s="4" t="s">
        <v>115</v>
      </c>
      <c r="X15" s="5">
        <v>5.5</v>
      </c>
      <c r="Y15" s="5">
        <v>6.54</v>
      </c>
      <c r="Z15" s="5">
        <v>14</v>
      </c>
      <c r="AA15" s="5">
        <v>8.5</v>
      </c>
      <c r="AB15" s="5">
        <v>14</v>
      </c>
      <c r="AC15" s="5">
        <v>16</v>
      </c>
      <c r="AD15" s="5">
        <v>3.6</v>
      </c>
      <c r="AE15" s="5">
        <v>10</v>
      </c>
      <c r="AQ15" s="11" t="s">
        <v>93</v>
      </c>
      <c r="AR15" s="11">
        <f t="shared" ref="AR15:AR24" si="78">D2/270.67</f>
        <v>0.97713082351202574</v>
      </c>
      <c r="AS15" s="11">
        <f t="shared" ref="AS15:AS24" si="79">D2/270.67</f>
        <v>0.97713082351202574</v>
      </c>
      <c r="AT15" s="11">
        <v>0.97699999999999998</v>
      </c>
      <c r="AU15" s="11">
        <v>0.97699999999999998</v>
      </c>
      <c r="AV15" s="11">
        <v>0.97699999999999998</v>
      </c>
      <c r="AW15" s="11">
        <v>0.97699999999999998</v>
      </c>
      <c r="AX15" s="11">
        <v>0.97699999999999998</v>
      </c>
      <c r="AY15" s="11">
        <v>0.97699999999999998</v>
      </c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0" x14ac:dyDescent="0.2">
      <c r="L16" s="5" t="s">
        <v>65</v>
      </c>
      <c r="M16" s="5">
        <f>3.14*(M15/2)^2</f>
        <v>19596.740000000002</v>
      </c>
      <c r="N16" s="5">
        <f t="shared" ref="N16:T16" si="80">3.14*(N15/2)^2</f>
        <v>22954.185000000001</v>
      </c>
      <c r="O16" s="5">
        <f>3.14*(O15/2)^2</f>
        <v>55543.46</v>
      </c>
      <c r="P16" s="5">
        <f t="shared" ref="P16" si="81">3.14*(P15/2)^2</f>
        <v>40094.660000000003</v>
      </c>
      <c r="Q16" s="5">
        <f t="shared" ref="Q16" si="82">3.14*(Q15/2)^2</f>
        <v>49850.64</v>
      </c>
      <c r="R16" s="5">
        <f t="shared" ref="R16" si="83">3.14*(R15/2)^2</f>
        <v>51445.760000000002</v>
      </c>
      <c r="S16" s="5">
        <f t="shared" si="80"/>
        <v>10562.960000000001</v>
      </c>
      <c r="T16" s="5">
        <f t="shared" si="80"/>
        <v>26866.625</v>
      </c>
      <c r="AQ16" s="11"/>
      <c r="AR16" s="11">
        <f t="shared" si="78"/>
        <v>0.97498799275870973</v>
      </c>
      <c r="AS16" s="11">
        <f t="shared" si="79"/>
        <v>0.97498799275870973</v>
      </c>
      <c r="AT16" s="11">
        <v>0.97499999999999998</v>
      </c>
      <c r="AU16" s="11">
        <v>0.97499999999999998</v>
      </c>
      <c r="AV16" s="11">
        <v>0.97499999999999998</v>
      </c>
      <c r="AW16" s="11">
        <v>0.97499999999999998</v>
      </c>
      <c r="AX16" s="11">
        <v>0.97499999999999998</v>
      </c>
      <c r="AY16" s="11">
        <v>0.97499999999999998</v>
      </c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2:67" ht="16.5" thickBot="1" x14ac:dyDescent="0.25">
      <c r="L17" s="5" t="s">
        <v>67</v>
      </c>
      <c r="M17" s="58">
        <v>264.48</v>
      </c>
      <c r="N17" s="58">
        <v>264.48</v>
      </c>
      <c r="O17" s="58">
        <v>264.48</v>
      </c>
      <c r="P17" s="58">
        <v>264.48</v>
      </c>
      <c r="Q17" s="58">
        <v>264.48</v>
      </c>
      <c r="R17" s="58">
        <v>264.48</v>
      </c>
      <c r="S17" s="58">
        <v>264.48</v>
      </c>
      <c r="T17" s="58">
        <v>264.48</v>
      </c>
      <c r="U17" s="20"/>
      <c r="AQ17" s="11"/>
      <c r="AR17" s="11">
        <f t="shared" si="78"/>
        <v>1</v>
      </c>
      <c r="AS17" s="11">
        <f t="shared" si="79"/>
        <v>1</v>
      </c>
      <c r="AT17" s="11">
        <v>1</v>
      </c>
      <c r="AU17" s="11">
        <v>1</v>
      </c>
      <c r="AV17" s="11">
        <v>1</v>
      </c>
      <c r="AW17" s="11">
        <v>1</v>
      </c>
      <c r="AX17" s="11">
        <v>1</v>
      </c>
      <c r="AY17" s="11">
        <v>1</v>
      </c>
      <c r="AZ17" s="11"/>
      <c r="BA17" s="11"/>
      <c r="BB17" s="11"/>
      <c r="BC17" s="11"/>
      <c r="BD17" s="11"/>
      <c r="BE17" s="11"/>
      <c r="BF17" s="11"/>
      <c r="BG17" s="11" t="s">
        <v>230</v>
      </c>
      <c r="BH17" s="5" t="s">
        <v>53</v>
      </c>
      <c r="BI17" s="5" t="s">
        <v>54</v>
      </c>
      <c r="BJ17" s="13" t="s">
        <v>179</v>
      </c>
      <c r="BK17" s="13" t="s">
        <v>182</v>
      </c>
      <c r="BL17" s="13" t="s">
        <v>185</v>
      </c>
      <c r="BM17" s="14" t="s">
        <v>186</v>
      </c>
      <c r="BN17" s="5" t="s">
        <v>61</v>
      </c>
      <c r="BO17" s="5" t="s">
        <v>92</v>
      </c>
    </row>
    <row r="18" spans="12:67" ht="16.5" thickTop="1" x14ac:dyDescent="0.2">
      <c r="L18" s="5" t="s">
        <v>68</v>
      </c>
      <c r="M18" s="58">
        <v>263.89999999999998</v>
      </c>
      <c r="N18" s="58">
        <v>263.89999999999998</v>
      </c>
      <c r="O18" s="58">
        <v>263.89999999999998</v>
      </c>
      <c r="P18" s="58">
        <v>263.89999999999998</v>
      </c>
      <c r="Q18" s="58">
        <v>263.89999999999998</v>
      </c>
      <c r="R18" s="58">
        <v>263.89999999999998</v>
      </c>
      <c r="S18" s="58">
        <v>263.89999999999998</v>
      </c>
      <c r="T18" s="58">
        <v>263.89999999999998</v>
      </c>
      <c r="U18" s="20"/>
      <c r="AQ18" s="11"/>
      <c r="AR18" s="11">
        <f t="shared" si="78"/>
        <v>0.93852292459452469</v>
      </c>
      <c r="AS18" s="11">
        <f t="shared" si="79"/>
        <v>0.93852292459452469</v>
      </c>
      <c r="AT18" s="11">
        <v>0.93899999999999995</v>
      </c>
      <c r="AU18" s="11">
        <v>0.93899999999999995</v>
      </c>
      <c r="AV18" s="11">
        <v>0.93899999999999995</v>
      </c>
      <c r="AW18" s="11">
        <v>0.93899999999999995</v>
      </c>
      <c r="AX18" s="11">
        <v>0.93899999999999995</v>
      </c>
      <c r="AY18" s="11">
        <v>0.93899999999999995</v>
      </c>
      <c r="AZ18" s="11"/>
      <c r="BA18" s="11"/>
      <c r="BB18" s="11"/>
      <c r="BC18" s="11"/>
      <c r="BD18" s="11"/>
      <c r="BE18" s="11"/>
      <c r="BF18" s="11"/>
      <c r="BG18" s="5" t="s">
        <v>5</v>
      </c>
      <c r="BH18" s="11">
        <v>0.34474918024983014</v>
      </c>
      <c r="BI18" s="5">
        <v>0.40381392323687249</v>
      </c>
      <c r="BJ18" s="5">
        <v>0.97712998709169152</v>
      </c>
      <c r="BK18" s="5">
        <v>0.70535207220158336</v>
      </c>
      <c r="BL18" s="5">
        <v>0.87698093024295831</v>
      </c>
      <c r="BM18" s="5">
        <v>0.90504255234949826</v>
      </c>
      <c r="BN18" s="5">
        <v>0.18582538733543161</v>
      </c>
      <c r="BO18" s="5">
        <v>0.47264223257692833</v>
      </c>
    </row>
    <row r="19" spans="12:67" ht="15.75" x14ac:dyDescent="0.2">
      <c r="L19" s="5" t="s">
        <v>69</v>
      </c>
      <c r="M19" s="58">
        <v>270.67</v>
      </c>
      <c r="N19" s="58">
        <v>270.67</v>
      </c>
      <c r="O19" s="58">
        <v>270.67</v>
      </c>
      <c r="P19" s="58">
        <v>270.67</v>
      </c>
      <c r="Q19" s="58">
        <v>270.67</v>
      </c>
      <c r="R19" s="58">
        <v>270.67</v>
      </c>
      <c r="S19" s="58">
        <v>270.67</v>
      </c>
      <c r="T19" s="58">
        <v>270.67</v>
      </c>
      <c r="U19" s="20"/>
      <c r="AQ19" s="11"/>
      <c r="AR19" s="11">
        <f t="shared" si="78"/>
        <v>0.89740274134554987</v>
      </c>
      <c r="AS19" s="11">
        <f t="shared" si="79"/>
        <v>0.89740274134554987</v>
      </c>
      <c r="AT19" s="11">
        <v>0.89700000000000002</v>
      </c>
      <c r="AU19" s="11">
        <v>0.89700000000000002</v>
      </c>
      <c r="AV19" s="11">
        <v>0.89700000000000002</v>
      </c>
      <c r="AW19" s="11">
        <v>0.89700000000000002</v>
      </c>
      <c r="AX19" s="11">
        <v>0.89700000000000002</v>
      </c>
      <c r="AY19" s="11">
        <v>0.89700000000000002</v>
      </c>
      <c r="AZ19" s="11"/>
      <c r="BA19" s="11"/>
      <c r="BB19" s="11"/>
      <c r="BC19" s="11"/>
      <c r="BD19" s="11"/>
      <c r="BE19" s="11"/>
      <c r="BF19" s="11"/>
      <c r="BG19" s="5" t="s">
        <v>22</v>
      </c>
      <c r="BH19" s="11">
        <v>0.34399315134577352</v>
      </c>
      <c r="BI19" s="5">
        <v>0.40292836638766871</v>
      </c>
      <c r="BJ19" s="5">
        <v>0.97498715817263049</v>
      </c>
      <c r="BK19" s="5">
        <v>0.70380524748184292</v>
      </c>
      <c r="BL19" s="5">
        <v>0.87505772644856594</v>
      </c>
      <c r="BM19" s="5">
        <v>0.90305780991013507</v>
      </c>
      <c r="BN19" s="5">
        <v>0.18541787552109953</v>
      </c>
      <c r="BO19" s="5">
        <v>0.47160573645285603</v>
      </c>
    </row>
    <row r="20" spans="12:67" ht="15.75" x14ac:dyDescent="0.2">
      <c r="L20" s="5" t="s">
        <v>70</v>
      </c>
      <c r="M20" s="58">
        <v>254.03</v>
      </c>
      <c r="N20" s="58">
        <v>254.03</v>
      </c>
      <c r="O20" s="58">
        <v>254.03</v>
      </c>
      <c r="P20" s="58">
        <v>254.03</v>
      </c>
      <c r="Q20" s="58">
        <v>254.03</v>
      </c>
      <c r="R20" s="58">
        <v>254.03</v>
      </c>
      <c r="S20" s="58">
        <v>254.03</v>
      </c>
      <c r="T20" s="58">
        <v>254.03</v>
      </c>
      <c r="U20" s="20"/>
      <c r="AQ20" s="11"/>
      <c r="AR20" s="11">
        <f t="shared" si="78"/>
        <v>0.91835075922710308</v>
      </c>
      <c r="AS20" s="11">
        <f t="shared" si="79"/>
        <v>0.91835075922710308</v>
      </c>
      <c r="AT20" s="11">
        <v>0.91800000000000004</v>
      </c>
      <c r="AU20" s="11">
        <v>0.91800000000000004</v>
      </c>
      <c r="AV20" s="11">
        <v>0.91800000000000004</v>
      </c>
      <c r="AW20" s="11">
        <v>0.91800000000000004</v>
      </c>
      <c r="AX20" s="11">
        <v>0.91800000000000004</v>
      </c>
      <c r="AY20" s="11">
        <v>0.91800000000000004</v>
      </c>
      <c r="AZ20" s="11"/>
      <c r="BA20" s="11"/>
      <c r="BB20" s="11"/>
      <c r="BC20" s="11"/>
      <c r="BD20" s="11"/>
      <c r="BE20" s="11"/>
      <c r="BF20" s="11"/>
      <c r="BG20" s="5" t="s">
        <v>6</v>
      </c>
      <c r="BH20" s="11">
        <v>0.35281783355346918</v>
      </c>
      <c r="BI20" s="5">
        <v>0.41326495236889094</v>
      </c>
      <c r="BJ20" s="5">
        <v>0.99999914400373602</v>
      </c>
      <c r="BK20" s="5">
        <v>0.72186042567605313</v>
      </c>
      <c r="BL20" s="5">
        <v>0.89750615694518121</v>
      </c>
      <c r="BM20" s="5">
        <v>0.92622454493511286</v>
      </c>
      <c r="BN20" s="5">
        <v>0.19017452204356197</v>
      </c>
      <c r="BO20" s="5">
        <v>0.4837041481079748</v>
      </c>
    </row>
    <row r="21" spans="12:67" ht="15.75" x14ac:dyDescent="0.2">
      <c r="L21" s="5" t="s">
        <v>71</v>
      </c>
      <c r="M21" s="58">
        <v>242.9</v>
      </c>
      <c r="N21" s="58">
        <v>242.9</v>
      </c>
      <c r="O21" s="58">
        <v>242.9</v>
      </c>
      <c r="P21" s="58">
        <v>242.9</v>
      </c>
      <c r="Q21" s="58">
        <v>242.9</v>
      </c>
      <c r="R21" s="58">
        <v>242.9</v>
      </c>
      <c r="S21" s="58">
        <v>242.9</v>
      </c>
      <c r="T21" s="58">
        <v>242.9</v>
      </c>
      <c r="U21" s="20"/>
      <c r="AQ21" s="11"/>
      <c r="AR21" s="11">
        <f t="shared" si="78"/>
        <v>0.93209443233457712</v>
      </c>
      <c r="AS21" s="11">
        <f t="shared" si="79"/>
        <v>0.93209443233457712</v>
      </c>
      <c r="AT21" s="11">
        <v>0.93200000000000005</v>
      </c>
      <c r="AU21" s="11">
        <v>0.93200000000000005</v>
      </c>
      <c r="AV21" s="11">
        <v>0.93200000000000005</v>
      </c>
      <c r="AW21" s="11">
        <v>0.93200000000000005</v>
      </c>
      <c r="AX21" s="11">
        <v>0.93200000000000005</v>
      </c>
      <c r="AY21" s="11">
        <v>0.93200000000000005</v>
      </c>
      <c r="AZ21" s="11"/>
      <c r="BA21" s="11"/>
      <c r="BB21" s="11"/>
      <c r="BC21" s="11"/>
      <c r="BD21" s="11"/>
      <c r="BE21" s="11"/>
      <c r="BF21" s="11"/>
      <c r="BG21" s="5" t="s">
        <v>7</v>
      </c>
      <c r="BH21" s="11">
        <v>0.33112762499570614</v>
      </c>
      <c r="BI21" s="5">
        <v>0.38785863172966839</v>
      </c>
      <c r="BJ21" s="5">
        <v>0.93852212122240752</v>
      </c>
      <c r="BK21" s="5">
        <v>0.67748255785453793</v>
      </c>
      <c r="BL21" s="5">
        <v>0.8423301032577839</v>
      </c>
      <c r="BM21" s="5">
        <v>0.8692829687437349</v>
      </c>
      <c r="BN21" s="5">
        <v>0.17848314861168965</v>
      </c>
      <c r="BO21" s="5">
        <v>0.45396743172079962</v>
      </c>
    </row>
    <row r="22" spans="12:67" ht="15.75" x14ac:dyDescent="0.2">
      <c r="L22" s="5" t="s">
        <v>72</v>
      </c>
      <c r="M22" s="58">
        <v>248.57</v>
      </c>
      <c r="N22" s="58">
        <v>248.57</v>
      </c>
      <c r="O22" s="58">
        <v>248.57</v>
      </c>
      <c r="P22" s="58">
        <v>248.57</v>
      </c>
      <c r="Q22" s="58">
        <v>248.57</v>
      </c>
      <c r="R22" s="58">
        <v>248.57</v>
      </c>
      <c r="S22" s="58">
        <v>248.57</v>
      </c>
      <c r="T22" s="58">
        <v>248.57</v>
      </c>
      <c r="U22" s="20"/>
      <c r="AQ22" s="11"/>
      <c r="AR22" s="11">
        <f t="shared" si="78"/>
        <v>0.89001366978239183</v>
      </c>
      <c r="AS22" s="11">
        <f t="shared" si="79"/>
        <v>0.89001366978239183</v>
      </c>
      <c r="AT22" s="11">
        <v>0.89</v>
      </c>
      <c r="AU22" s="11">
        <v>0.89</v>
      </c>
      <c r="AV22" s="11">
        <v>0.89</v>
      </c>
      <c r="AW22" s="11">
        <v>0.89</v>
      </c>
      <c r="AX22" s="11">
        <v>0.89</v>
      </c>
      <c r="AY22" s="11">
        <v>0.89</v>
      </c>
      <c r="AZ22" s="11"/>
      <c r="BA22" s="11"/>
      <c r="BB22" s="11"/>
      <c r="BC22" s="11"/>
      <c r="BD22" s="11"/>
      <c r="BE22" s="11"/>
      <c r="BF22" s="11"/>
      <c r="BG22" s="5" t="s">
        <v>8</v>
      </c>
      <c r="BH22" s="11">
        <v>0.31661969102648119</v>
      </c>
      <c r="BI22" s="5">
        <v>0.37086510115788079</v>
      </c>
      <c r="BJ22" s="5">
        <v>0.89740197317215598</v>
      </c>
      <c r="BK22" s="5">
        <v>0.6477995248705557</v>
      </c>
      <c r="BL22" s="5">
        <v>0.80542448561711499</v>
      </c>
      <c r="BM22" s="5">
        <v>0.83119644572630469</v>
      </c>
      <c r="BN22" s="5">
        <v>0.17066313741597222</v>
      </c>
      <c r="BO22" s="5">
        <v>0.43407742851231051</v>
      </c>
    </row>
    <row r="23" spans="12:67" ht="15.75" x14ac:dyDescent="0.2">
      <c r="L23" s="5" t="s">
        <v>73</v>
      </c>
      <c r="M23" s="58">
        <v>252.29</v>
      </c>
      <c r="N23" s="58">
        <v>252.29</v>
      </c>
      <c r="O23" s="58">
        <v>252.29</v>
      </c>
      <c r="P23" s="58">
        <v>252.29</v>
      </c>
      <c r="Q23" s="58">
        <v>252.29</v>
      </c>
      <c r="R23" s="58">
        <v>252.29</v>
      </c>
      <c r="S23" s="58">
        <v>252.29</v>
      </c>
      <c r="T23" s="58">
        <v>252.29</v>
      </c>
      <c r="U23" s="20"/>
      <c r="AQ23" s="11"/>
      <c r="AR23" s="11">
        <f t="shared" si="78"/>
        <v>0.92666346473565586</v>
      </c>
      <c r="AS23" s="11">
        <f t="shared" si="79"/>
        <v>0.92666346473565586</v>
      </c>
      <c r="AT23" s="11">
        <v>0.92700000000000005</v>
      </c>
      <c r="AU23" s="11">
        <v>0.92700000000000005</v>
      </c>
      <c r="AV23" s="11">
        <v>0.92700000000000005</v>
      </c>
      <c r="AW23" s="11">
        <v>0.92700000000000005</v>
      </c>
      <c r="AX23" s="11">
        <v>0.92700000000000005</v>
      </c>
      <c r="AY23" s="11">
        <v>0.92700000000000005</v>
      </c>
      <c r="AZ23" s="11"/>
      <c r="BA23" s="11"/>
      <c r="BB23" s="11"/>
      <c r="BC23" s="11"/>
      <c r="BD23" s="11"/>
      <c r="BE23" s="11"/>
      <c r="BF23" s="11"/>
      <c r="BG23" s="5" t="s">
        <v>9</v>
      </c>
      <c r="BH23" s="11">
        <v>0.32401052531269009</v>
      </c>
      <c r="BI23" s="5">
        <v>0.3795221827699235</v>
      </c>
      <c r="BJ23" s="5">
        <v>0.91834997312228395</v>
      </c>
      <c r="BK23" s="5">
        <v>0.66292106997560329</v>
      </c>
      <c r="BL23" s="5">
        <v>0.82422546064160662</v>
      </c>
      <c r="BM23" s="5">
        <v>0.85059901405593885</v>
      </c>
      <c r="BN23" s="5">
        <v>0.17464691670435659</v>
      </c>
      <c r="BO23" s="5">
        <v>0.44421007165625775</v>
      </c>
    </row>
    <row r="24" spans="12:67" ht="15.75" x14ac:dyDescent="0.2">
      <c r="L24" s="5" t="s">
        <v>74</v>
      </c>
      <c r="M24" s="58">
        <v>240.9</v>
      </c>
      <c r="N24" s="58">
        <v>240.9</v>
      </c>
      <c r="O24" s="58">
        <v>240.9</v>
      </c>
      <c r="P24" s="58">
        <v>240.9</v>
      </c>
      <c r="Q24" s="58">
        <v>240.9</v>
      </c>
      <c r="R24" s="58">
        <v>240.9</v>
      </c>
      <c r="S24" s="58">
        <v>240.9</v>
      </c>
      <c r="T24" s="58">
        <v>240.9</v>
      </c>
      <c r="U24" s="20"/>
      <c r="AQ24" s="11"/>
      <c r="AR24" s="11">
        <f t="shared" si="78"/>
        <v>0.89910222780507632</v>
      </c>
      <c r="AS24" s="11">
        <f t="shared" si="79"/>
        <v>0.89910222780507632</v>
      </c>
      <c r="AT24" s="11">
        <v>0.89900000000000002</v>
      </c>
      <c r="AU24" s="11">
        <v>0.89900000000000002</v>
      </c>
      <c r="AV24" s="11">
        <v>0.89900000000000002</v>
      </c>
      <c r="AW24" s="11">
        <v>0.89900000000000002</v>
      </c>
      <c r="AX24" s="11">
        <v>0.89900000000000002</v>
      </c>
      <c r="AY24" s="11">
        <v>0.89900000000000002</v>
      </c>
      <c r="AZ24" s="11"/>
      <c r="BA24" s="11"/>
      <c r="BB24" s="11"/>
      <c r="BC24" s="11"/>
      <c r="BD24" s="11"/>
      <c r="BE24" s="11"/>
      <c r="BF24" s="11"/>
      <c r="BG24" s="5" t="s">
        <v>77</v>
      </c>
      <c r="BH24" s="11">
        <v>0.3288595382835362</v>
      </c>
      <c r="BI24" s="5">
        <v>0.38520196118205735</v>
      </c>
      <c r="BJ24" s="5">
        <v>0.9320936344652252</v>
      </c>
      <c r="BK24" s="5">
        <v>0.67284208369531695</v>
      </c>
      <c r="BL24" s="5">
        <v>0.83656049187460646</v>
      </c>
      <c r="BM24" s="5">
        <v>0.86332874142564608</v>
      </c>
      <c r="BN24" s="5">
        <v>0.1772606131686934</v>
      </c>
      <c r="BO24" s="5">
        <v>0.45085794334858298</v>
      </c>
    </row>
    <row r="25" spans="12:67" ht="15.75" x14ac:dyDescent="0.2">
      <c r="L25" s="5" t="s">
        <v>75</v>
      </c>
      <c r="M25" s="58">
        <v>250.82</v>
      </c>
      <c r="N25" s="58">
        <v>250.82</v>
      </c>
      <c r="O25" s="58">
        <v>250.82</v>
      </c>
      <c r="P25" s="58">
        <v>250.82</v>
      </c>
      <c r="Q25" s="58">
        <v>250.82</v>
      </c>
      <c r="R25" s="58">
        <v>250.82</v>
      </c>
      <c r="S25" s="58">
        <v>250.82</v>
      </c>
      <c r="T25" s="58">
        <v>250.82</v>
      </c>
      <c r="U25" s="20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5" t="s">
        <v>10</v>
      </c>
      <c r="BH25" s="11">
        <v>0.31401269480559618</v>
      </c>
      <c r="BI25" s="5">
        <v>0.36781145685028188</v>
      </c>
      <c r="BJ25" s="5">
        <v>0.89001290793401555</v>
      </c>
      <c r="BK25" s="5">
        <v>0.64246564652662363</v>
      </c>
      <c r="BL25" s="5">
        <v>0.79879274839507208</v>
      </c>
      <c r="BM25" s="5">
        <v>0.82435250628022561</v>
      </c>
      <c r="BN25" s="5">
        <v>0.16925792426310296</v>
      </c>
      <c r="BO25" s="5">
        <v>0.43050330394654418</v>
      </c>
    </row>
    <row r="26" spans="12:67" ht="15.75" x14ac:dyDescent="0.2">
      <c r="L26" s="5" t="s">
        <v>76</v>
      </c>
      <c r="M26" s="58">
        <v>243.36</v>
      </c>
      <c r="N26" s="58">
        <v>243.36</v>
      </c>
      <c r="O26" s="58">
        <v>243.36</v>
      </c>
      <c r="P26" s="58">
        <v>243.36</v>
      </c>
      <c r="Q26" s="58">
        <v>243.36</v>
      </c>
      <c r="R26" s="58">
        <v>243.36</v>
      </c>
      <c r="S26" s="58">
        <v>243.36</v>
      </c>
      <c r="T26" s="58">
        <v>243.36</v>
      </c>
      <c r="U26" s="20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5" t="s">
        <v>11</v>
      </c>
      <c r="BH26" s="11">
        <v>0.32694339606118566</v>
      </c>
      <c r="BI26" s="5">
        <v>0.38295753261597215</v>
      </c>
      <c r="BJ26" s="5">
        <v>0.92666267151519199</v>
      </c>
      <c r="BK26" s="5">
        <v>0.66892168311252698</v>
      </c>
      <c r="BL26" s="5">
        <v>0.83168616501640502</v>
      </c>
      <c r="BM26" s="5">
        <v>0.85829844593277804</v>
      </c>
      <c r="BN26" s="5">
        <v>0.1762277815013345</v>
      </c>
      <c r="BO26" s="5">
        <v>0.4482309617927448</v>
      </c>
    </row>
    <row r="27" spans="12:67" x14ac:dyDescent="0.2">
      <c r="AQ27" s="5" t="s">
        <v>88</v>
      </c>
      <c r="AR27" s="39">
        <v>1</v>
      </c>
      <c r="AS27" s="39">
        <v>1</v>
      </c>
      <c r="AT27" s="39">
        <v>1</v>
      </c>
      <c r="AU27" s="39">
        <v>1</v>
      </c>
      <c r="AV27" s="39">
        <v>1</v>
      </c>
      <c r="AW27" s="39">
        <v>1</v>
      </c>
      <c r="AX27" s="39">
        <v>1</v>
      </c>
      <c r="AY27" s="39">
        <v>1</v>
      </c>
      <c r="AZ27" s="11"/>
      <c r="BA27" s="11"/>
      <c r="BB27" s="11"/>
      <c r="BC27" s="11"/>
      <c r="BD27" s="11"/>
      <c r="BE27" s="11"/>
      <c r="BF27" s="11"/>
      <c r="BG27" s="5" t="s">
        <v>78</v>
      </c>
      <c r="BH27" s="11">
        <v>0.31721930015728472</v>
      </c>
      <c r="BI27" s="5">
        <v>0.37156743934862851</v>
      </c>
      <c r="BJ27" s="5">
        <v>0.89910145817692844</v>
      </c>
      <c r="BK27" s="5">
        <v>0.64902631688966006</v>
      </c>
      <c r="BL27" s="5">
        <v>0.80694978517818494</v>
      </c>
      <c r="BM27" s="5">
        <v>0.83277055179890291</v>
      </c>
      <c r="BN27" s="5">
        <v>0.17098633644113215</v>
      </c>
      <c r="BO27" s="5">
        <v>0.43489947716243665</v>
      </c>
    </row>
    <row r="28" spans="12:67" x14ac:dyDescent="0.2">
      <c r="AR28" s="39">
        <v>0.97241379310344822</v>
      </c>
      <c r="AS28" s="39">
        <v>0.97241379310344822</v>
      </c>
      <c r="AT28" s="39">
        <v>0.97241379310344822</v>
      </c>
      <c r="AU28" s="39">
        <v>0.97241379310344822</v>
      </c>
      <c r="AV28" s="39">
        <v>0.97241379310344822</v>
      </c>
      <c r="AW28" s="39">
        <v>0.97241379310344822</v>
      </c>
      <c r="AX28" s="39">
        <v>0.97241379310344822</v>
      </c>
      <c r="AY28" s="39">
        <v>0.97241379310344822</v>
      </c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2:67" x14ac:dyDescent="0.2">
      <c r="AR29" s="39">
        <v>0.95172413793103439</v>
      </c>
      <c r="AS29" s="39">
        <v>0.95172413793103439</v>
      </c>
      <c r="AT29" s="39">
        <v>0.95172413793103439</v>
      </c>
      <c r="AU29" s="39">
        <v>0.95172413793103439</v>
      </c>
      <c r="AV29" s="39">
        <v>0.95172413793103439</v>
      </c>
      <c r="AW29" s="39">
        <v>0.95172413793103439</v>
      </c>
      <c r="AX29" s="39">
        <v>0.95172413793103439</v>
      </c>
      <c r="AY29" s="39">
        <v>0.95172413793103439</v>
      </c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2:67" ht="16.5" thickBot="1" x14ac:dyDescent="0.25">
      <c r="AR30" s="39">
        <v>0.95172413793103439</v>
      </c>
      <c r="AS30" s="39">
        <v>0.95172413793103439</v>
      </c>
      <c r="AT30" s="39">
        <v>0.95172413793103439</v>
      </c>
      <c r="AU30" s="39">
        <v>0.95172413793103439</v>
      </c>
      <c r="AV30" s="39">
        <v>0.95172413793103439</v>
      </c>
      <c r="AW30" s="39">
        <v>0.95172413793103439</v>
      </c>
      <c r="AX30" s="39">
        <v>0.95172413793103439</v>
      </c>
      <c r="AY30" s="39">
        <v>0.95172413793103439</v>
      </c>
      <c r="AZ30" s="11"/>
      <c r="BA30" s="11"/>
      <c r="BB30" s="11"/>
      <c r="BC30" s="11"/>
      <c r="BD30" s="11"/>
      <c r="BE30" s="11"/>
      <c r="BF30" s="11"/>
      <c r="BG30" s="5" t="s">
        <v>116</v>
      </c>
      <c r="BH30" s="5" t="s">
        <v>53</v>
      </c>
      <c r="BI30" s="5" t="s">
        <v>54</v>
      </c>
      <c r="BJ30" s="13" t="s">
        <v>179</v>
      </c>
      <c r="BK30" s="13" t="s">
        <v>182</v>
      </c>
      <c r="BL30" s="13" t="s">
        <v>185</v>
      </c>
      <c r="BM30" s="14" t="s">
        <v>186</v>
      </c>
      <c r="BN30" s="5" t="s">
        <v>61</v>
      </c>
      <c r="BO30" s="5" t="s">
        <v>92</v>
      </c>
    </row>
    <row r="31" spans="12:67" ht="15" thickTop="1" x14ac:dyDescent="0.2">
      <c r="AR31" s="39">
        <v>0.94482758620689666</v>
      </c>
      <c r="AS31" s="39">
        <v>0.94482758620689666</v>
      </c>
      <c r="AT31" s="39">
        <v>0.94482758620689666</v>
      </c>
      <c r="AU31" s="39">
        <v>0.94482758620689666</v>
      </c>
      <c r="AV31" s="39">
        <v>0.94482758620689666</v>
      </c>
      <c r="AW31" s="39">
        <v>0.94482758620689666</v>
      </c>
      <c r="AX31" s="39">
        <v>0.94482758620689666</v>
      </c>
      <c r="AY31" s="39">
        <v>0.94482758620689666</v>
      </c>
      <c r="AZ31" s="11"/>
      <c r="BA31" s="11"/>
      <c r="BB31" s="11"/>
      <c r="BC31" s="11"/>
      <c r="BD31" s="11"/>
      <c r="BE31" s="11"/>
      <c r="BF31" s="11"/>
      <c r="BG31" s="5" t="s">
        <v>5</v>
      </c>
      <c r="BH31" s="11">
        <v>0.37694151237818191</v>
      </c>
      <c r="BI31" s="5">
        <v>0.37131026598165151</v>
      </c>
      <c r="BJ31" s="5">
        <v>0.4197181228800001</v>
      </c>
      <c r="BK31" s="5">
        <v>0.49902285537882363</v>
      </c>
      <c r="BL31" s="5">
        <v>0.37669992192000007</v>
      </c>
      <c r="BM31" s="5">
        <v>0.34015936512000011</v>
      </c>
      <c r="BN31" s="5">
        <v>0.31041018453333341</v>
      </c>
      <c r="BO31" s="5">
        <v>0.28422739920000006</v>
      </c>
    </row>
    <row r="32" spans="12:67" x14ac:dyDescent="0.2">
      <c r="AR32" s="39">
        <v>0.93103448275862077</v>
      </c>
      <c r="AS32" s="39">
        <v>0.93103448275862077</v>
      </c>
      <c r="AT32" s="39">
        <v>0.93103448275862077</v>
      </c>
      <c r="AU32" s="39">
        <v>0.93103448275862077</v>
      </c>
      <c r="AV32" s="39">
        <v>0.93103448275862077</v>
      </c>
      <c r="AW32" s="39">
        <v>0.93103448275862077</v>
      </c>
      <c r="AX32" s="39">
        <v>0.93103448275862077</v>
      </c>
      <c r="AY32" s="39">
        <v>0.93103448275862077</v>
      </c>
      <c r="AZ32" s="11"/>
      <c r="BA32" s="11"/>
      <c r="BB32" s="11"/>
      <c r="BC32" s="11"/>
      <c r="BD32" s="11"/>
      <c r="BE32" s="11"/>
      <c r="BF32" s="11"/>
      <c r="BG32" s="5" t="s">
        <v>22</v>
      </c>
      <c r="BH32" s="11">
        <v>0.37611488625454553</v>
      </c>
      <c r="BI32" s="5">
        <v>0.37049598908256881</v>
      </c>
      <c r="BJ32" s="5">
        <v>0.41879768840000003</v>
      </c>
      <c r="BK32" s="5">
        <v>0.49792850701176478</v>
      </c>
      <c r="BL32" s="5">
        <v>0.37587382559999999</v>
      </c>
      <c r="BM32" s="5">
        <v>0.33941340160000005</v>
      </c>
      <c r="BN32" s="5">
        <v>0.30972946044444449</v>
      </c>
      <c r="BO32" s="5">
        <v>0.28360409350000004</v>
      </c>
    </row>
    <row r="33" spans="43:67" x14ac:dyDescent="0.2">
      <c r="AR33" s="39">
        <v>0.93103448275862077</v>
      </c>
      <c r="AS33" s="39">
        <v>0.93103448275862077</v>
      </c>
      <c r="AT33" s="39">
        <v>0.93103448275862077</v>
      </c>
      <c r="AU33" s="39">
        <v>0.93103448275862077</v>
      </c>
      <c r="AV33" s="39">
        <v>0.93103448275862077</v>
      </c>
      <c r="AW33" s="39">
        <v>0.93103448275862077</v>
      </c>
      <c r="AX33" s="39">
        <v>0.93103448275862077</v>
      </c>
      <c r="AY33" s="39">
        <v>0.93103448275862077</v>
      </c>
      <c r="AZ33" s="11"/>
      <c r="BA33" s="11"/>
      <c r="BB33" s="11"/>
      <c r="BC33" s="11"/>
      <c r="BD33" s="11"/>
      <c r="BE33" s="11"/>
      <c r="BF33" s="11"/>
      <c r="BG33" s="5" t="s">
        <v>6</v>
      </c>
      <c r="BH33" s="11">
        <v>0.38576360842181823</v>
      </c>
      <c r="BI33" s="5">
        <v>0.38000056599082577</v>
      </c>
      <c r="BJ33" s="5">
        <v>0.42954138052000002</v>
      </c>
      <c r="BK33" s="5">
        <v>0.51070219398588257</v>
      </c>
      <c r="BL33" s="5">
        <v>0.38551636367999997</v>
      </c>
      <c r="BM33" s="5">
        <v>0.34812059648000004</v>
      </c>
      <c r="BN33" s="5">
        <v>0.31767515368888899</v>
      </c>
      <c r="BO33" s="5">
        <v>0.29087957555000005</v>
      </c>
    </row>
    <row r="34" spans="43:67" x14ac:dyDescent="0.2">
      <c r="AR34" s="39">
        <v>0.92413793103448283</v>
      </c>
      <c r="AS34" s="39">
        <v>0.92413793103448283</v>
      </c>
      <c r="AT34" s="39">
        <v>0.92413793103448283</v>
      </c>
      <c r="AU34" s="39">
        <v>0.92413793103448283</v>
      </c>
      <c r="AV34" s="39">
        <v>0.92413793103448283</v>
      </c>
      <c r="AW34" s="39">
        <v>0.92413793103448283</v>
      </c>
      <c r="AX34" s="39">
        <v>0.92413793103448283</v>
      </c>
      <c r="AY34" s="39">
        <v>0.92413793103448283</v>
      </c>
      <c r="AZ34" s="11"/>
      <c r="BA34" s="11"/>
      <c r="BB34" s="11"/>
      <c r="BC34" s="11"/>
      <c r="BD34" s="11"/>
      <c r="BE34" s="11"/>
      <c r="BF34" s="11"/>
      <c r="BG34" s="5" t="s">
        <v>7</v>
      </c>
      <c r="BH34" s="11">
        <v>0.36204798997818188</v>
      </c>
      <c r="BI34" s="5">
        <v>0.35663924254128448</v>
      </c>
      <c r="BJ34" s="5">
        <v>0.40313443267999999</v>
      </c>
      <c r="BK34" s="5">
        <v>0.47930571669647065</v>
      </c>
      <c r="BL34" s="5">
        <v>0.36181594512000004</v>
      </c>
      <c r="BM34" s="5">
        <v>0.32671916032000003</v>
      </c>
      <c r="BN34" s="5">
        <v>0.29814541431111113</v>
      </c>
      <c r="BO34" s="5">
        <v>0.27299714995000002</v>
      </c>
    </row>
    <row r="35" spans="43:67" x14ac:dyDescent="0.2">
      <c r="AR35" s="39">
        <v>0.93793103448275872</v>
      </c>
      <c r="AS35" s="39">
        <v>0.93793103448275872</v>
      </c>
      <c r="AT35" s="39">
        <v>0.93793103448275872</v>
      </c>
      <c r="AU35" s="39">
        <v>0.93793103448275872</v>
      </c>
      <c r="AV35" s="39">
        <v>0.93793103448275872</v>
      </c>
      <c r="AW35" s="39">
        <v>0.93793103448275872</v>
      </c>
      <c r="AX35" s="39">
        <v>0.93793103448275872</v>
      </c>
      <c r="AY35" s="39">
        <v>0.93793103448275872</v>
      </c>
      <c r="AZ35" s="11"/>
      <c r="BA35" s="11"/>
      <c r="BB35" s="11"/>
      <c r="BC35" s="11"/>
      <c r="BD35" s="11"/>
      <c r="BE35" s="11"/>
      <c r="BF35" s="11"/>
      <c r="BG35" s="5" t="s">
        <v>8</v>
      </c>
      <c r="BH35" s="11">
        <v>0.346185319709091</v>
      </c>
      <c r="BI35" s="5">
        <v>0.3410135496330276</v>
      </c>
      <c r="BJ35" s="5">
        <v>0.38547161240000005</v>
      </c>
      <c r="BK35" s="5">
        <v>0.45830554889411773</v>
      </c>
      <c r="BL35" s="5">
        <v>0.34596344160000003</v>
      </c>
      <c r="BM35" s="5">
        <v>0.31240437760000006</v>
      </c>
      <c r="BN35" s="5">
        <v>0.28508255377777786</v>
      </c>
      <c r="BO35" s="5">
        <v>0.26103612850000002</v>
      </c>
    </row>
    <row r="36" spans="43:67" x14ac:dyDescent="0.2">
      <c r="AR36" s="39">
        <v>0.93103448275862077</v>
      </c>
      <c r="AS36" s="39">
        <v>0.93103448275862077</v>
      </c>
      <c r="AT36" s="39">
        <v>0.93103448275862077</v>
      </c>
      <c r="AU36" s="39">
        <v>0.93103448275862077</v>
      </c>
      <c r="AV36" s="39">
        <v>0.93103448275862077</v>
      </c>
      <c r="AW36" s="39">
        <v>0.93103448275862077</v>
      </c>
      <c r="AX36" s="39">
        <v>0.93103448275862077</v>
      </c>
      <c r="AY36" s="39">
        <v>0.93103448275862077</v>
      </c>
      <c r="AZ36" s="11"/>
      <c r="BA36" s="11"/>
      <c r="BB36" s="11"/>
      <c r="BC36" s="11"/>
      <c r="BD36" s="11"/>
      <c r="BE36" s="11"/>
      <c r="BF36" s="11"/>
      <c r="BG36" s="5" t="s">
        <v>9</v>
      </c>
      <c r="BH36" s="11">
        <v>0.35426630267636361</v>
      </c>
      <c r="BI36" s="5">
        <v>0.34897380828440366</v>
      </c>
      <c r="BJ36" s="5">
        <v>0.39446965291999997</v>
      </c>
      <c r="BK36" s="5">
        <v>0.46900374758588237</v>
      </c>
      <c r="BL36" s="5">
        <v>0.35403924527999997</v>
      </c>
      <c r="BM36" s="5">
        <v>0.31969681408</v>
      </c>
      <c r="BN36" s="5">
        <v>0.29173721857777779</v>
      </c>
      <c r="BO36" s="5">
        <v>0.26712947905000001</v>
      </c>
    </row>
    <row r="37" spans="43:67" x14ac:dyDescent="0.2"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5" t="s">
        <v>77</v>
      </c>
      <c r="BH37" s="11">
        <v>0.3595681116072727</v>
      </c>
      <c r="BI37" s="5">
        <v>0.35419641184403666</v>
      </c>
      <c r="BJ37" s="5">
        <v>0.40037312923999996</v>
      </c>
      <c r="BK37" s="5">
        <v>0.47602267159529416</v>
      </c>
      <c r="BL37" s="5">
        <v>0.35933765616000002</v>
      </c>
      <c r="BM37" s="5">
        <v>0.32448126975999997</v>
      </c>
      <c r="BN37" s="5">
        <v>0.29610324204444444</v>
      </c>
      <c r="BO37" s="5">
        <v>0.27112723284999996</v>
      </c>
    </row>
    <row r="38" spans="43:67" x14ac:dyDescent="0.2"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5" t="s">
        <v>10</v>
      </c>
      <c r="BH38" s="11">
        <v>0.34333488480000007</v>
      </c>
      <c r="BI38" s="5">
        <v>0.33820569825688085</v>
      </c>
      <c r="BJ38" s="5">
        <v>0.38229770040000005</v>
      </c>
      <c r="BK38" s="5">
        <v>0.45453193383529422</v>
      </c>
      <c r="BL38" s="5">
        <v>0.3431148336</v>
      </c>
      <c r="BM38" s="5">
        <v>0.30983208960000008</v>
      </c>
      <c r="BN38" s="5">
        <v>0.28273522933333339</v>
      </c>
      <c r="BO38" s="5">
        <v>0.25888679850000001</v>
      </c>
    </row>
    <row r="39" spans="43:67" x14ac:dyDescent="0.2">
      <c r="AQ39" s="5" t="s">
        <v>87</v>
      </c>
      <c r="AR39" s="39">
        <v>1</v>
      </c>
      <c r="AS39" s="39">
        <v>1</v>
      </c>
      <c r="AT39" s="39">
        <v>1</v>
      </c>
      <c r="AU39" s="39">
        <v>1</v>
      </c>
      <c r="AV39" s="39">
        <v>1</v>
      </c>
      <c r="AW39" s="39">
        <v>1</v>
      </c>
      <c r="AX39" s="39">
        <v>1</v>
      </c>
      <c r="AY39" s="39">
        <v>1</v>
      </c>
      <c r="AZ39" s="11"/>
      <c r="BA39" s="11"/>
      <c r="BB39" s="11"/>
      <c r="BC39" s="11"/>
      <c r="BD39" s="11"/>
      <c r="BE39" s="11"/>
      <c r="BF39" s="11"/>
      <c r="BG39" s="5" t="s">
        <v>11</v>
      </c>
      <c r="BH39" s="11">
        <v>0.35747304194909096</v>
      </c>
      <c r="BI39" s="5">
        <v>0.35213264108256881</v>
      </c>
      <c r="BJ39" s="5">
        <v>0.39804030391999995</v>
      </c>
      <c r="BK39" s="5">
        <v>0.47324906452705889</v>
      </c>
      <c r="BL39" s="5">
        <v>0.35724392928000004</v>
      </c>
      <c r="BM39" s="5">
        <v>0.32259063807999999</v>
      </c>
      <c r="BN39" s="5">
        <v>0.29437795857777782</v>
      </c>
      <c r="BO39" s="5">
        <v>0.26954747530000001</v>
      </c>
    </row>
    <row r="40" spans="43:67" x14ac:dyDescent="0.2">
      <c r="AR40" s="39">
        <v>0.90909090909090906</v>
      </c>
      <c r="AS40" s="39">
        <v>0.90909090909090906</v>
      </c>
      <c r="AT40" s="39">
        <v>0.90909090909090906</v>
      </c>
      <c r="AU40" s="39">
        <v>0.90909090909090906</v>
      </c>
      <c r="AV40" s="39">
        <v>0.90909090909090906</v>
      </c>
      <c r="AW40" s="39">
        <v>0.90909090909090906</v>
      </c>
      <c r="AX40" s="39">
        <v>0.90909090909090906</v>
      </c>
      <c r="AY40" s="39">
        <v>0.90909090909090906</v>
      </c>
      <c r="AZ40" s="11"/>
      <c r="BA40" s="11"/>
      <c r="BB40" s="11"/>
      <c r="BC40" s="11"/>
      <c r="BD40" s="11"/>
      <c r="BE40" s="11"/>
      <c r="BF40" s="11"/>
      <c r="BG40" s="5" t="s">
        <v>78</v>
      </c>
      <c r="BH40" s="11">
        <v>0.34684091973818187</v>
      </c>
      <c r="BI40" s="5">
        <v>0.34165935544954135</v>
      </c>
      <c r="BJ40" s="5">
        <v>0.38620161215999999</v>
      </c>
      <c r="BK40" s="5">
        <v>0.45917348035764716</v>
      </c>
      <c r="BL40" s="5">
        <v>0.34661862144000005</v>
      </c>
      <c r="BM40" s="5">
        <v>0.31299600384000004</v>
      </c>
      <c r="BN40" s="5">
        <v>0.28562243840000001</v>
      </c>
      <c r="BO40" s="5">
        <v>0.26153047440000005</v>
      </c>
    </row>
    <row r="41" spans="43:67" x14ac:dyDescent="0.2">
      <c r="AR41" s="39">
        <v>0.85606060606060597</v>
      </c>
      <c r="AS41" s="39">
        <v>0.85606060606060597</v>
      </c>
      <c r="AT41" s="39">
        <v>0.85606060606060597</v>
      </c>
      <c r="AU41" s="39">
        <v>0.85606060606060597</v>
      </c>
      <c r="AV41" s="39">
        <v>0.85606060606060597</v>
      </c>
      <c r="AW41" s="39">
        <v>0.85606060606060597</v>
      </c>
      <c r="AX41" s="39">
        <v>0.85606060606060597</v>
      </c>
      <c r="AY41" s="39">
        <v>0.85606060606060597</v>
      </c>
      <c r="AZ41" s="11"/>
      <c r="BA41" s="11"/>
      <c r="BB41" s="11"/>
      <c r="BC41" s="11"/>
      <c r="BD41" s="11"/>
      <c r="BE41" s="11"/>
      <c r="BF41" s="11"/>
      <c r="BG41" s="11"/>
      <c r="BH41" s="11"/>
    </row>
    <row r="42" spans="43:67" x14ac:dyDescent="0.2">
      <c r="AR42" s="39">
        <v>0.79545454545454541</v>
      </c>
      <c r="AS42" s="39">
        <v>0.79545454545454541</v>
      </c>
      <c r="AT42" s="39">
        <v>0.79545454545454541</v>
      </c>
      <c r="AU42" s="39">
        <v>0.79545454545454541</v>
      </c>
      <c r="AV42" s="39">
        <v>0.79545454545454541</v>
      </c>
      <c r="AW42" s="39">
        <v>0.79545454545454541</v>
      </c>
      <c r="AX42" s="39">
        <v>0.79545454545454541</v>
      </c>
      <c r="AY42" s="39">
        <v>0.79545454545454541</v>
      </c>
      <c r="AZ42" s="11"/>
      <c r="BA42" s="11"/>
      <c r="BB42" s="11"/>
      <c r="BC42" s="11"/>
      <c r="BD42" s="11"/>
      <c r="BE42" s="11"/>
      <c r="BF42" s="11"/>
      <c r="BG42" s="11"/>
      <c r="BH42" s="11"/>
    </row>
    <row r="43" spans="43:67" x14ac:dyDescent="0.2">
      <c r="AR43" s="39">
        <v>0.78787878787878785</v>
      </c>
      <c r="AS43" s="39">
        <v>0.78787878787878785</v>
      </c>
      <c r="AT43" s="39">
        <v>0.78787878787878785</v>
      </c>
      <c r="AU43" s="39">
        <v>0.78787878787878785</v>
      </c>
      <c r="AV43" s="39">
        <v>0.78787878787878785</v>
      </c>
      <c r="AW43" s="39">
        <v>0.78787878787878785</v>
      </c>
      <c r="AX43" s="39">
        <v>0.78787878787878785</v>
      </c>
      <c r="AY43" s="39">
        <v>0.78787878787878785</v>
      </c>
      <c r="AZ43" s="11"/>
      <c r="BA43" s="11"/>
      <c r="BB43" s="11"/>
      <c r="BC43" s="11"/>
      <c r="BD43" s="11"/>
      <c r="BE43" s="11"/>
      <c r="BF43" s="11"/>
      <c r="BG43" s="11" t="s">
        <v>231</v>
      </c>
      <c r="BH43" s="11"/>
    </row>
    <row r="44" spans="43:67" x14ac:dyDescent="0.2">
      <c r="AR44" s="39">
        <v>0.78787878787878785</v>
      </c>
      <c r="AS44" s="39">
        <v>0.78787878787878785</v>
      </c>
      <c r="AT44" s="39">
        <v>0.78787878787878785</v>
      </c>
      <c r="AU44" s="39">
        <v>0.78787878787878785</v>
      </c>
      <c r="AV44" s="39">
        <v>0.78787878787878785</v>
      </c>
      <c r="AW44" s="39">
        <v>0.78787878787878785</v>
      </c>
      <c r="AX44" s="39">
        <v>0.78787878787878785</v>
      </c>
      <c r="AY44" s="39">
        <v>0.78787878787878785</v>
      </c>
      <c r="AZ44" s="11"/>
      <c r="BA44" s="11"/>
      <c r="BB44" s="11"/>
      <c r="BC44" s="11"/>
      <c r="BD44" s="11"/>
      <c r="BE44" s="11"/>
      <c r="BF44" s="11"/>
      <c r="BG44" s="5" t="s">
        <v>5</v>
      </c>
      <c r="BH44" s="11">
        <v>0.97713082351202574</v>
      </c>
      <c r="BI44" s="5">
        <v>0.97713082351202574</v>
      </c>
      <c r="BJ44" s="5">
        <v>0.97699999999999998</v>
      </c>
      <c r="BK44" s="5">
        <v>0.97699999999999998</v>
      </c>
      <c r="BL44" s="5">
        <v>0.97699999999999998</v>
      </c>
      <c r="BM44" s="5">
        <v>0.97699999999999998</v>
      </c>
      <c r="BN44" s="5">
        <v>0.97699999999999998</v>
      </c>
      <c r="BO44" s="5">
        <v>0.97699999999999998</v>
      </c>
    </row>
    <row r="45" spans="43:67" x14ac:dyDescent="0.2">
      <c r="AR45" s="39">
        <v>0.77272727272727271</v>
      </c>
      <c r="AS45" s="39">
        <v>0.77272727272727271</v>
      </c>
      <c r="AT45" s="39">
        <v>0.77272727272727271</v>
      </c>
      <c r="AU45" s="39">
        <v>0.77272727272727271</v>
      </c>
      <c r="AV45" s="39">
        <v>0.77272727272727271</v>
      </c>
      <c r="AW45" s="39">
        <v>0.77272727272727271</v>
      </c>
      <c r="AX45" s="39">
        <v>0.77272727272727271</v>
      </c>
      <c r="AY45" s="39">
        <v>0.77272727272727271</v>
      </c>
      <c r="AZ45" s="11"/>
      <c r="BA45" s="11"/>
      <c r="BB45" s="11"/>
      <c r="BC45" s="11"/>
      <c r="BD45" s="11"/>
      <c r="BE45" s="11"/>
      <c r="BF45" s="11"/>
      <c r="BG45" s="5" t="s">
        <v>22</v>
      </c>
      <c r="BH45" s="11">
        <v>0.97498799275870973</v>
      </c>
      <c r="BI45" s="5">
        <v>0.97498799275870973</v>
      </c>
      <c r="BJ45" s="5">
        <v>0.97499999999999998</v>
      </c>
      <c r="BK45" s="5">
        <v>0.97499999999999998</v>
      </c>
      <c r="BL45" s="5">
        <v>0.97499999999999998</v>
      </c>
      <c r="BM45" s="5">
        <v>0.97499999999999998</v>
      </c>
      <c r="BN45" s="5">
        <v>0.97499999999999998</v>
      </c>
      <c r="BO45" s="5">
        <v>0.97499999999999998</v>
      </c>
    </row>
    <row r="46" spans="43:67" x14ac:dyDescent="0.2">
      <c r="AR46" s="39">
        <v>0.83333333333333337</v>
      </c>
      <c r="AS46" s="39">
        <v>0.83333333333333337</v>
      </c>
      <c r="AT46" s="39">
        <v>0.83333333333333337</v>
      </c>
      <c r="AU46" s="39">
        <v>0.83333333333333337</v>
      </c>
      <c r="AV46" s="39">
        <v>0.83333333333333337</v>
      </c>
      <c r="AW46" s="39">
        <v>0.83333333333333337</v>
      </c>
      <c r="AX46" s="39">
        <v>0.83333333333333337</v>
      </c>
      <c r="AY46" s="39">
        <v>0.83333333333333337</v>
      </c>
      <c r="AZ46" s="11"/>
      <c r="BA46" s="11"/>
      <c r="BB46" s="11"/>
      <c r="BC46" s="11"/>
      <c r="BD46" s="11"/>
      <c r="BE46" s="11"/>
      <c r="BF46" s="11"/>
      <c r="BG46" s="5" t="s">
        <v>6</v>
      </c>
      <c r="BH46" s="11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</row>
    <row r="47" spans="43:67" x14ac:dyDescent="0.2">
      <c r="AR47" s="39">
        <v>0.75</v>
      </c>
      <c r="AS47" s="39">
        <v>0.75</v>
      </c>
      <c r="AT47" s="39">
        <v>0.75</v>
      </c>
      <c r="AU47" s="39">
        <v>0.75</v>
      </c>
      <c r="AV47" s="39">
        <v>0.75</v>
      </c>
      <c r="AW47" s="39">
        <v>0.75</v>
      </c>
      <c r="AX47" s="39">
        <v>0.75</v>
      </c>
      <c r="AY47" s="39">
        <v>0.75</v>
      </c>
      <c r="AZ47" s="11"/>
      <c r="BA47" s="11"/>
      <c r="BB47" s="11"/>
      <c r="BC47" s="11"/>
      <c r="BD47" s="11"/>
      <c r="BE47" s="11"/>
      <c r="BF47" s="11"/>
      <c r="BG47" s="5" t="s">
        <v>7</v>
      </c>
      <c r="BH47" s="11">
        <v>0.93852292459452469</v>
      </c>
      <c r="BI47" s="5">
        <v>0.93852292459452469</v>
      </c>
      <c r="BJ47" s="5">
        <v>0.93899999999999995</v>
      </c>
      <c r="BK47" s="5">
        <v>0.93899999999999995</v>
      </c>
      <c r="BL47" s="5">
        <v>0.93899999999999995</v>
      </c>
      <c r="BM47" s="5">
        <v>0.93899999999999995</v>
      </c>
      <c r="BN47" s="5">
        <v>0.93899999999999995</v>
      </c>
      <c r="BO47" s="5">
        <v>0.93899999999999995</v>
      </c>
    </row>
    <row r="48" spans="43:67" x14ac:dyDescent="0.2">
      <c r="AR48" s="39">
        <v>0.76515151515151514</v>
      </c>
      <c r="AS48" s="39">
        <v>0.76515151515151514</v>
      </c>
      <c r="AT48" s="39">
        <v>0.76515151515151514</v>
      </c>
      <c r="AU48" s="39">
        <v>0.76515151515151514</v>
      </c>
      <c r="AV48" s="39">
        <v>0.76515151515151514</v>
      </c>
      <c r="AW48" s="39">
        <v>0.76515151515151514</v>
      </c>
      <c r="AX48" s="39">
        <v>0.76515151515151514</v>
      </c>
      <c r="AY48" s="39">
        <v>0.76515151515151514</v>
      </c>
      <c r="AZ48" s="11"/>
      <c r="BA48" s="11"/>
      <c r="BB48" s="11"/>
      <c r="BC48" s="11"/>
      <c r="BD48" s="11"/>
      <c r="BE48" s="11"/>
      <c r="BF48" s="11"/>
      <c r="BG48" s="5" t="s">
        <v>8</v>
      </c>
      <c r="BH48" s="11">
        <v>0.89740274134554987</v>
      </c>
      <c r="BI48" s="5">
        <v>0.89740274134554987</v>
      </c>
      <c r="BJ48" s="5">
        <v>0.89700000000000002</v>
      </c>
      <c r="BK48" s="5">
        <v>0.89700000000000002</v>
      </c>
      <c r="BL48" s="5">
        <v>0.89700000000000002</v>
      </c>
      <c r="BM48" s="5">
        <v>0.89700000000000002</v>
      </c>
      <c r="BN48" s="5">
        <v>0.89700000000000002</v>
      </c>
      <c r="BO48" s="5">
        <v>0.89700000000000002</v>
      </c>
    </row>
    <row r="49" spans="43:67" x14ac:dyDescent="0.2"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5" t="s">
        <v>9</v>
      </c>
      <c r="BH49" s="11">
        <v>0.91835075922710308</v>
      </c>
      <c r="BI49" s="5">
        <v>0.91835075922710308</v>
      </c>
      <c r="BJ49" s="5">
        <v>0.91800000000000004</v>
      </c>
      <c r="BK49" s="5">
        <v>0.91800000000000004</v>
      </c>
      <c r="BL49" s="5">
        <v>0.91800000000000004</v>
      </c>
      <c r="BM49" s="5">
        <v>0.91800000000000004</v>
      </c>
      <c r="BN49" s="5">
        <v>0.91800000000000004</v>
      </c>
      <c r="BO49" s="5">
        <v>0.91800000000000004</v>
      </c>
    </row>
    <row r="50" spans="43:67" x14ac:dyDescent="0.2"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5" t="s">
        <v>77</v>
      </c>
      <c r="BH50" s="11">
        <v>0.93209443233457712</v>
      </c>
      <c r="BI50" s="5">
        <v>0.93209443233457712</v>
      </c>
      <c r="BJ50" s="5">
        <v>0.93200000000000005</v>
      </c>
      <c r="BK50" s="5">
        <v>0.93200000000000005</v>
      </c>
      <c r="BL50" s="5">
        <v>0.93200000000000005</v>
      </c>
      <c r="BM50" s="5">
        <v>0.93200000000000005</v>
      </c>
      <c r="BN50" s="5">
        <v>0.93200000000000005</v>
      </c>
      <c r="BO50" s="5">
        <v>0.93200000000000005</v>
      </c>
    </row>
    <row r="51" spans="43:67" x14ac:dyDescent="0.2">
      <c r="AQ51" s="5" t="s">
        <v>86</v>
      </c>
      <c r="AR51" s="11">
        <v>0.34623101175121812</v>
      </c>
      <c r="AS51" s="11">
        <v>0.34623101175121812</v>
      </c>
      <c r="AT51" s="11">
        <v>0.34623101175121812</v>
      </c>
      <c r="AU51" s="11">
        <v>0.34623101175121812</v>
      </c>
      <c r="AV51" s="11">
        <v>0.34623101175121812</v>
      </c>
      <c r="AW51" s="11">
        <v>0.34623101175121812</v>
      </c>
      <c r="AX51" s="11">
        <v>0.34623101175121812</v>
      </c>
      <c r="AY51" s="11">
        <v>0.34623101175121812</v>
      </c>
      <c r="AZ51" s="11"/>
      <c r="BA51" s="11"/>
      <c r="BB51" s="11"/>
      <c r="BC51" s="11"/>
      <c r="BD51" s="11"/>
      <c r="BE51" s="11"/>
      <c r="BF51" s="11"/>
      <c r="BG51" s="5" t="s">
        <v>10</v>
      </c>
      <c r="BH51" s="11">
        <v>0.89001366978239183</v>
      </c>
      <c r="BI51" s="5">
        <v>0.89001366978239183</v>
      </c>
      <c r="BJ51" s="5">
        <v>0.89</v>
      </c>
      <c r="BK51" s="5">
        <v>0.89</v>
      </c>
      <c r="BL51" s="5">
        <v>0.89</v>
      </c>
      <c r="BM51" s="5">
        <v>0.89</v>
      </c>
      <c r="BN51" s="5">
        <v>0.89</v>
      </c>
      <c r="BO51" s="5">
        <v>0.89</v>
      </c>
    </row>
    <row r="52" spans="43:67" x14ac:dyDescent="0.2">
      <c r="AR52" s="11">
        <v>0.51447406133562623</v>
      </c>
      <c r="AS52" s="11">
        <v>0.51447406133562623</v>
      </c>
      <c r="AT52" s="11">
        <v>0.51447406133562623</v>
      </c>
      <c r="AU52" s="11">
        <v>0.51447406133562623</v>
      </c>
      <c r="AV52" s="11">
        <v>0.51447406133562623</v>
      </c>
      <c r="AW52" s="11">
        <v>0.51447406133562623</v>
      </c>
      <c r="AX52" s="11">
        <v>0.51447406133562623</v>
      </c>
      <c r="AY52" s="11">
        <v>0.51447406133562623</v>
      </c>
      <c r="AZ52" s="11"/>
      <c r="BA52" s="11"/>
      <c r="BB52" s="11"/>
      <c r="BC52" s="11"/>
      <c r="BD52" s="11"/>
      <c r="BE52" s="11"/>
      <c r="BF52" s="11"/>
      <c r="BG52" s="5" t="s">
        <v>11</v>
      </c>
      <c r="BH52" s="11">
        <v>0.92666346473565586</v>
      </c>
      <c r="BI52" s="5">
        <v>0.92666346473565586</v>
      </c>
      <c r="BJ52" s="5">
        <v>0.92700000000000005</v>
      </c>
      <c r="BK52" s="5">
        <v>0.92700000000000005</v>
      </c>
      <c r="BL52" s="5">
        <v>0.92700000000000005</v>
      </c>
      <c r="BM52" s="5">
        <v>0.92700000000000005</v>
      </c>
      <c r="BN52" s="5">
        <v>0.92700000000000005</v>
      </c>
      <c r="BO52" s="5">
        <v>0.92700000000000005</v>
      </c>
    </row>
    <row r="53" spans="43:67" x14ac:dyDescent="0.2">
      <c r="AR53" s="11">
        <v>0.80567497850386927</v>
      </c>
      <c r="AS53" s="11">
        <v>0.80567497850386927</v>
      </c>
      <c r="AT53" s="11">
        <v>0.80567497850386927</v>
      </c>
      <c r="AU53" s="11">
        <v>0.80567497850386927</v>
      </c>
      <c r="AV53" s="11">
        <v>0.80567497850386927</v>
      </c>
      <c r="AW53" s="11">
        <v>0.80567497850386927</v>
      </c>
      <c r="AX53" s="11">
        <v>0.80567497850386927</v>
      </c>
      <c r="AY53" s="11">
        <v>0.80567497850386927</v>
      </c>
      <c r="AZ53" s="11"/>
      <c r="BA53" s="11"/>
      <c r="BB53" s="11"/>
      <c r="BC53" s="11"/>
      <c r="BD53" s="11"/>
      <c r="BE53" s="11"/>
      <c r="BF53" s="11"/>
      <c r="BG53" s="5" t="s">
        <v>78</v>
      </c>
      <c r="BH53" s="11">
        <v>0.89910222780507632</v>
      </c>
      <c r="BI53" s="5">
        <v>0.89910222780507632</v>
      </c>
      <c r="BJ53" s="5">
        <v>0.89900000000000002</v>
      </c>
      <c r="BK53" s="5">
        <v>0.89900000000000002</v>
      </c>
      <c r="BL53" s="5">
        <v>0.89900000000000002</v>
      </c>
      <c r="BM53" s="5">
        <v>0.89900000000000002</v>
      </c>
      <c r="BN53" s="5">
        <v>0.89900000000000002</v>
      </c>
      <c r="BO53" s="5">
        <v>0.89900000000000002</v>
      </c>
    </row>
    <row r="54" spans="43:67" x14ac:dyDescent="0.2">
      <c r="AR54" s="11">
        <v>0.47004872456291197</v>
      </c>
      <c r="AS54" s="11">
        <v>0.47004872456291197</v>
      </c>
      <c r="AT54" s="11">
        <v>0.47004872456291197</v>
      </c>
      <c r="AU54" s="11">
        <v>0.47004872456291197</v>
      </c>
      <c r="AV54" s="11">
        <v>0.47004872456291197</v>
      </c>
      <c r="AW54" s="11">
        <v>0.47004872456291197</v>
      </c>
      <c r="AX54" s="11">
        <v>0.47004872456291197</v>
      </c>
      <c r="AY54" s="11">
        <v>0.47004872456291197</v>
      </c>
      <c r="AZ54" s="11"/>
      <c r="BA54" s="11"/>
      <c r="BB54" s="11"/>
      <c r="BC54" s="11"/>
      <c r="BD54" s="11"/>
      <c r="BE54" s="11"/>
      <c r="BF54" s="11"/>
      <c r="BG54" s="11"/>
      <c r="BH54" s="11"/>
    </row>
    <row r="55" spans="43:67" x14ac:dyDescent="0.2">
      <c r="AR55" s="11">
        <v>0.35884207509314986</v>
      </c>
      <c r="AS55" s="11">
        <v>0.35884207509314986</v>
      </c>
      <c r="AT55" s="11">
        <v>0.35884207509314986</v>
      </c>
      <c r="AU55" s="11">
        <v>0.35884207509314986</v>
      </c>
      <c r="AV55" s="11">
        <v>0.35884207509314986</v>
      </c>
      <c r="AW55" s="11">
        <v>0.35884207509314986</v>
      </c>
      <c r="AX55" s="11">
        <v>0.35884207509314986</v>
      </c>
      <c r="AY55" s="11">
        <v>0.35884207509314986</v>
      </c>
      <c r="AZ55" s="11"/>
      <c r="BA55" s="11"/>
      <c r="BB55" s="11"/>
      <c r="BC55" s="11"/>
      <c r="BD55" s="11"/>
      <c r="BE55" s="11"/>
      <c r="BF55" s="11"/>
      <c r="BG55" s="11"/>
      <c r="BH55" s="11"/>
    </row>
    <row r="56" spans="43:67" x14ac:dyDescent="0.2">
      <c r="AR56" s="11">
        <v>0.49441100601891658</v>
      </c>
      <c r="AS56" s="11">
        <v>0.49441100601891658</v>
      </c>
      <c r="AT56" s="11">
        <v>0.49441100601891658</v>
      </c>
      <c r="AU56" s="11">
        <v>0.49441100601891658</v>
      </c>
      <c r="AV56" s="11">
        <v>0.49441100601891658</v>
      </c>
      <c r="AW56" s="11">
        <v>0.49441100601891658</v>
      </c>
      <c r="AX56" s="11">
        <v>0.49441100601891658</v>
      </c>
      <c r="AY56" s="11">
        <v>0.49441100601891658</v>
      </c>
      <c r="AZ56" s="11"/>
      <c r="BA56" s="11"/>
      <c r="BB56" s="11"/>
      <c r="BC56" s="11"/>
      <c r="BD56" s="11"/>
      <c r="BE56" s="11"/>
      <c r="BF56" s="11"/>
      <c r="BG56" s="11" t="s">
        <v>232</v>
      </c>
      <c r="BH56" s="11"/>
    </row>
    <row r="57" spans="43:67" x14ac:dyDescent="0.2">
      <c r="AR57" s="11">
        <v>0.69618801948982512</v>
      </c>
      <c r="AS57" s="11">
        <v>0.69618801948982512</v>
      </c>
      <c r="AT57" s="11">
        <v>0.69618801948982512</v>
      </c>
      <c r="AU57" s="11">
        <v>0.69618801948982512</v>
      </c>
      <c r="AV57" s="11">
        <v>0.69618801948982512</v>
      </c>
      <c r="AW57" s="11">
        <v>0.69618801948982512</v>
      </c>
      <c r="AX57" s="11">
        <v>0.69618801948982512</v>
      </c>
      <c r="AY57" s="11">
        <v>0.69618801948982512</v>
      </c>
      <c r="AZ57" s="11"/>
      <c r="BA57" s="11"/>
      <c r="BB57" s="11"/>
      <c r="BC57" s="11"/>
      <c r="BD57" s="11"/>
      <c r="BE57" s="11"/>
      <c r="BF57" s="11"/>
      <c r="BG57" s="5" t="s">
        <v>5</v>
      </c>
      <c r="BH57" s="39">
        <v>1</v>
      </c>
      <c r="BI57" s="39">
        <v>1</v>
      </c>
      <c r="BJ57" s="39">
        <v>1</v>
      </c>
      <c r="BK57" s="39">
        <v>1</v>
      </c>
      <c r="BL57" s="39">
        <v>1</v>
      </c>
      <c r="BM57" s="39">
        <v>1</v>
      </c>
      <c r="BN57" s="39">
        <v>1</v>
      </c>
      <c r="BO57" s="39">
        <v>1</v>
      </c>
    </row>
    <row r="58" spans="43:67" x14ac:dyDescent="0.2">
      <c r="AR58" s="11">
        <v>0.45887073660074523</v>
      </c>
      <c r="AS58" s="11">
        <v>0.45887073660074523</v>
      </c>
      <c r="AT58" s="11">
        <v>0.45887073660074523</v>
      </c>
      <c r="AU58" s="11">
        <v>0.45887073660074523</v>
      </c>
      <c r="AV58" s="11">
        <v>0.45887073660074523</v>
      </c>
      <c r="AW58" s="11">
        <v>0.45887073660074523</v>
      </c>
      <c r="AX58" s="11">
        <v>0.45887073660074523</v>
      </c>
      <c r="AY58" s="11">
        <v>0.45887073660074523</v>
      </c>
      <c r="AZ58" s="11"/>
      <c r="BA58" s="11"/>
      <c r="BB58" s="11"/>
      <c r="BC58" s="11"/>
      <c r="BD58" s="11"/>
      <c r="BE58" s="11"/>
      <c r="BF58" s="11"/>
      <c r="BG58" s="5" t="s">
        <v>22</v>
      </c>
      <c r="BH58" s="39">
        <v>0.97241379310344822</v>
      </c>
      <c r="BI58" s="39">
        <v>0.97241379310344822</v>
      </c>
      <c r="BJ58" s="39">
        <v>0.97241379310344822</v>
      </c>
      <c r="BK58" s="39">
        <v>0.97241379310344822</v>
      </c>
      <c r="BL58" s="39">
        <v>0.97241379310344822</v>
      </c>
      <c r="BM58" s="39">
        <v>0.97241379310344822</v>
      </c>
      <c r="BN58" s="39">
        <v>0.97241379310344822</v>
      </c>
      <c r="BO58" s="39">
        <v>0.97241379310344822</v>
      </c>
    </row>
    <row r="59" spans="43:67" x14ac:dyDescent="0.2">
      <c r="AR59" s="11">
        <v>1</v>
      </c>
      <c r="AS59" s="11">
        <v>1</v>
      </c>
      <c r="AT59" s="11">
        <v>1</v>
      </c>
      <c r="AU59" s="11">
        <v>1</v>
      </c>
      <c r="AV59" s="11">
        <v>1</v>
      </c>
      <c r="AW59" s="11">
        <v>1</v>
      </c>
      <c r="AX59" s="11">
        <v>1</v>
      </c>
      <c r="AY59" s="11">
        <v>1</v>
      </c>
      <c r="AZ59" s="11"/>
      <c r="BA59" s="11"/>
      <c r="BB59" s="11"/>
      <c r="BC59" s="11"/>
      <c r="BD59" s="11"/>
      <c r="BE59" s="11"/>
      <c r="BF59" s="11"/>
      <c r="BG59" s="5" t="s">
        <v>6</v>
      </c>
      <c r="BH59" s="39">
        <v>0.95172413793103439</v>
      </c>
      <c r="BI59" s="39">
        <v>0.95172413793103439</v>
      </c>
      <c r="BJ59" s="39">
        <v>0.95172413793103439</v>
      </c>
      <c r="BK59" s="39">
        <v>0.95172413793103439</v>
      </c>
      <c r="BL59" s="39">
        <v>0.95172413793103439</v>
      </c>
      <c r="BM59" s="39">
        <v>0.95172413793103439</v>
      </c>
      <c r="BN59" s="39">
        <v>0.95172413793103439</v>
      </c>
      <c r="BO59" s="39">
        <v>0.95172413793103439</v>
      </c>
    </row>
    <row r="60" spans="43:67" x14ac:dyDescent="0.2">
      <c r="AR60" s="11">
        <v>0.97162510748065345</v>
      </c>
      <c r="AS60" s="11">
        <v>0.97162510748065345</v>
      </c>
      <c r="AT60" s="11">
        <v>0.97162510748065345</v>
      </c>
      <c r="AU60" s="11">
        <v>0.97162510748065345</v>
      </c>
      <c r="AV60" s="11">
        <v>0.97162510748065345</v>
      </c>
      <c r="AW60" s="11">
        <v>0.97162510748065345</v>
      </c>
      <c r="AX60" s="11">
        <v>0.97162510748065345</v>
      </c>
      <c r="AY60" s="11">
        <v>0.97162510748065345</v>
      </c>
      <c r="AZ60" s="11"/>
      <c r="BA60" s="11"/>
      <c r="BB60" s="11"/>
      <c r="BC60" s="11"/>
      <c r="BD60" s="11"/>
      <c r="BE60" s="11"/>
      <c r="BF60" s="11"/>
      <c r="BG60" s="5" t="s">
        <v>7</v>
      </c>
      <c r="BH60" s="39">
        <v>0.95172413793103439</v>
      </c>
      <c r="BI60" s="39">
        <v>0.95172413793103439</v>
      </c>
      <c r="BJ60" s="39">
        <v>0.95172413793103439</v>
      </c>
      <c r="BK60" s="39">
        <v>0.95172413793103439</v>
      </c>
      <c r="BL60" s="39">
        <v>0.95172413793103439</v>
      </c>
      <c r="BM60" s="39">
        <v>0.95172413793103439</v>
      </c>
      <c r="BN60" s="39">
        <v>0.95172413793103439</v>
      </c>
      <c r="BO60" s="39">
        <v>0.95172413793103439</v>
      </c>
    </row>
    <row r="61" spans="43:67" x14ac:dyDescent="0.2"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5" t="s">
        <v>8</v>
      </c>
      <c r="BH61" s="39">
        <v>0.94482758620689666</v>
      </c>
      <c r="BI61" s="39">
        <v>0.94482758620689666</v>
      </c>
      <c r="BJ61" s="39">
        <v>0.94482758620689666</v>
      </c>
      <c r="BK61" s="39">
        <v>0.94482758620689666</v>
      </c>
      <c r="BL61" s="39">
        <v>0.94482758620689666</v>
      </c>
      <c r="BM61" s="39">
        <v>0.94482758620689666</v>
      </c>
      <c r="BN61" s="39">
        <v>0.94482758620689666</v>
      </c>
      <c r="BO61" s="39">
        <v>0.94482758620689666</v>
      </c>
    </row>
    <row r="62" spans="43:67" x14ac:dyDescent="0.2"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5" t="s">
        <v>9</v>
      </c>
      <c r="BH62" s="39">
        <v>0.93103448275862077</v>
      </c>
      <c r="BI62" s="39">
        <v>0.93103448275862077</v>
      </c>
      <c r="BJ62" s="39">
        <v>0.93103448275862077</v>
      </c>
      <c r="BK62" s="39">
        <v>0.93103448275862077</v>
      </c>
      <c r="BL62" s="39">
        <v>0.93103448275862077</v>
      </c>
      <c r="BM62" s="39">
        <v>0.93103448275862077</v>
      </c>
      <c r="BN62" s="39">
        <v>0.93103448275862077</v>
      </c>
      <c r="BO62" s="39">
        <v>0.93103448275862077</v>
      </c>
    </row>
    <row r="63" spans="43:67" x14ac:dyDescent="0.2"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5" t="s">
        <v>77</v>
      </c>
      <c r="BH63" s="39">
        <v>0.93103448275862077</v>
      </c>
      <c r="BI63" s="39">
        <v>0.93103448275862077</v>
      </c>
      <c r="BJ63" s="39">
        <v>0.93103448275862077</v>
      </c>
      <c r="BK63" s="39">
        <v>0.93103448275862077</v>
      </c>
      <c r="BL63" s="39">
        <v>0.93103448275862077</v>
      </c>
      <c r="BM63" s="39">
        <v>0.93103448275862077</v>
      </c>
      <c r="BN63" s="39">
        <v>0.93103448275862077</v>
      </c>
      <c r="BO63" s="39">
        <v>0.93103448275862077</v>
      </c>
    </row>
    <row r="64" spans="43:67" x14ac:dyDescent="0.2">
      <c r="AQ64" s="5" t="s">
        <v>89</v>
      </c>
      <c r="AR64" s="11">
        <v>0.14077287066246055</v>
      </c>
      <c r="AS64" s="11">
        <v>0.14077287066246055</v>
      </c>
      <c r="AT64" s="11">
        <v>0.14077287066246055</v>
      </c>
      <c r="AU64" s="11">
        <v>0.14077287066246055</v>
      </c>
      <c r="AV64" s="11">
        <v>0.14077287066246055</v>
      </c>
      <c r="AW64" s="11">
        <v>0.14077287066246055</v>
      </c>
      <c r="AX64" s="11">
        <v>0.14077287066246055</v>
      </c>
      <c r="AY64" s="11">
        <v>0.14077287066246055</v>
      </c>
      <c r="AZ64" s="11"/>
      <c r="BA64" s="11"/>
      <c r="BB64" s="11"/>
      <c r="BC64" s="11"/>
      <c r="BD64" s="11"/>
      <c r="BE64" s="11"/>
      <c r="BF64" s="11"/>
      <c r="BG64" s="5" t="s">
        <v>10</v>
      </c>
      <c r="BH64" s="39">
        <v>0.92413793103448283</v>
      </c>
      <c r="BI64" s="39">
        <v>0.92413793103448283</v>
      </c>
      <c r="BJ64" s="39">
        <v>0.92413793103448283</v>
      </c>
      <c r="BK64" s="39">
        <v>0.92413793103448283</v>
      </c>
      <c r="BL64" s="39">
        <v>0.92413793103448283</v>
      </c>
      <c r="BM64" s="39">
        <v>0.92413793103448283</v>
      </c>
      <c r="BN64" s="39">
        <v>0.92413793103448283</v>
      </c>
      <c r="BO64" s="39">
        <v>0.92413793103448283</v>
      </c>
    </row>
    <row r="65" spans="43:67" x14ac:dyDescent="0.2">
      <c r="AR65" s="11">
        <v>1.0410094637223974</v>
      </c>
      <c r="AS65" s="11">
        <v>1.0410094637223974</v>
      </c>
      <c r="AT65" s="11">
        <v>1.0410094637223974</v>
      </c>
      <c r="AU65" s="11">
        <v>1.0410094637223974</v>
      </c>
      <c r="AV65" s="11">
        <v>1.0410094637223974</v>
      </c>
      <c r="AW65" s="11">
        <v>1.0410094637223974</v>
      </c>
      <c r="AX65" s="11">
        <v>1.0410094637223974</v>
      </c>
      <c r="AY65" s="11">
        <v>1.0410094637223974</v>
      </c>
      <c r="AZ65" s="11"/>
      <c r="BA65" s="11"/>
      <c r="BB65" s="11"/>
      <c r="BC65" s="11"/>
      <c r="BD65" s="11"/>
      <c r="BE65" s="11"/>
      <c r="BF65" s="11"/>
      <c r="BG65" s="5" t="s">
        <v>11</v>
      </c>
      <c r="BH65" s="39">
        <v>0.93793103448275872</v>
      </c>
      <c r="BI65" s="39">
        <v>0.93793103448275872</v>
      </c>
      <c r="BJ65" s="39">
        <v>0.93793103448275872</v>
      </c>
      <c r="BK65" s="39">
        <v>0.93793103448275872</v>
      </c>
      <c r="BL65" s="39">
        <v>0.93793103448275872</v>
      </c>
      <c r="BM65" s="39">
        <v>0.93793103448275872</v>
      </c>
      <c r="BN65" s="39">
        <v>0.93793103448275872</v>
      </c>
      <c r="BO65" s="39">
        <v>0.93793103448275872</v>
      </c>
    </row>
    <row r="66" spans="43:67" x14ac:dyDescent="0.2">
      <c r="AR66" s="11">
        <v>0.73501577287066255</v>
      </c>
      <c r="AS66" s="11">
        <v>0.73501577287066255</v>
      </c>
      <c r="AT66" s="11">
        <v>0.73501577287066255</v>
      </c>
      <c r="AU66" s="11">
        <v>0.73501577287066255</v>
      </c>
      <c r="AV66" s="11">
        <v>0.73501577287066255</v>
      </c>
      <c r="AW66" s="11">
        <v>0.73501577287066255</v>
      </c>
      <c r="AX66" s="11">
        <v>0.73501577287066255</v>
      </c>
      <c r="AY66" s="11">
        <v>0.73501577287066255</v>
      </c>
      <c r="AZ66" s="11"/>
      <c r="BA66" s="11"/>
      <c r="BB66" s="11"/>
      <c r="BC66" s="11"/>
      <c r="BD66" s="11"/>
      <c r="BE66" s="11"/>
      <c r="BF66" s="11"/>
      <c r="BG66" s="5" t="s">
        <v>78</v>
      </c>
      <c r="BH66" s="39">
        <v>0.93103448275862077</v>
      </c>
      <c r="BI66" s="39">
        <v>0.93103448275862077</v>
      </c>
      <c r="BJ66" s="39">
        <v>0.93103448275862077</v>
      </c>
      <c r="BK66" s="39">
        <v>0.93103448275862077</v>
      </c>
      <c r="BL66" s="39">
        <v>0.93103448275862077</v>
      </c>
      <c r="BM66" s="39">
        <v>0.93103448275862077</v>
      </c>
      <c r="BN66" s="39">
        <v>0.93103448275862077</v>
      </c>
      <c r="BO66" s="39">
        <v>0.93103448275862077</v>
      </c>
    </row>
    <row r="67" spans="43:67" x14ac:dyDescent="0.2">
      <c r="AR67" s="11">
        <v>0.80717665615141954</v>
      </c>
      <c r="AS67" s="11">
        <v>0.80717665615141954</v>
      </c>
      <c r="AT67" s="11">
        <v>0.80717665615141954</v>
      </c>
      <c r="AU67" s="11">
        <v>0.80717665615141954</v>
      </c>
      <c r="AV67" s="11">
        <v>0.80717665615141954</v>
      </c>
      <c r="AW67" s="11">
        <v>0.80717665615141954</v>
      </c>
      <c r="AX67" s="11">
        <v>0.80717665615141954</v>
      </c>
      <c r="AY67" s="11">
        <v>0.80717665615141954</v>
      </c>
      <c r="AZ67" s="11"/>
      <c r="BA67" s="11"/>
      <c r="BB67" s="11"/>
      <c r="BC67" s="11"/>
      <c r="BD67" s="11"/>
      <c r="BE67" s="11"/>
      <c r="BF67" s="11"/>
      <c r="BG67" s="11"/>
      <c r="BH67" s="11"/>
    </row>
    <row r="68" spans="43:67" x14ac:dyDescent="0.2">
      <c r="AR68" s="11">
        <v>0.64708201892744477</v>
      </c>
      <c r="AS68" s="11">
        <v>0.64708201892744477</v>
      </c>
      <c r="AT68" s="11">
        <v>0.64708201892744477</v>
      </c>
      <c r="AU68" s="11">
        <v>0.64708201892744477</v>
      </c>
      <c r="AV68" s="11">
        <v>0.64708201892744477</v>
      </c>
      <c r="AW68" s="11">
        <v>0.64708201892744477</v>
      </c>
      <c r="AX68" s="11">
        <v>0.64708201892744477</v>
      </c>
      <c r="AY68" s="11">
        <v>0.64708201892744477</v>
      </c>
      <c r="AZ68" s="11"/>
      <c r="BA68" s="11"/>
      <c r="BB68" s="11"/>
      <c r="BC68" s="11"/>
      <c r="BD68" s="11"/>
      <c r="BE68" s="11"/>
      <c r="BF68" s="11"/>
      <c r="BG68" s="11"/>
      <c r="BH68" s="11"/>
    </row>
    <row r="69" spans="43:67" x14ac:dyDescent="0.2">
      <c r="AR69" s="11">
        <v>0.47712933753943215</v>
      </c>
      <c r="AS69" s="11">
        <v>0.47712933753943215</v>
      </c>
      <c r="AT69" s="11">
        <v>0.47712933753943215</v>
      </c>
      <c r="AU69" s="11">
        <v>0.47712933753943215</v>
      </c>
      <c r="AV69" s="11">
        <v>0.47712933753943215</v>
      </c>
      <c r="AW69" s="11">
        <v>0.47712933753943215</v>
      </c>
      <c r="AX69" s="11">
        <v>0.47712933753943215</v>
      </c>
      <c r="AY69" s="11">
        <v>0.47712933753943215</v>
      </c>
      <c r="AZ69" s="11"/>
      <c r="BA69" s="11"/>
      <c r="BB69" s="11"/>
      <c r="BC69" s="11"/>
      <c r="BD69" s="11"/>
      <c r="BE69" s="11"/>
      <c r="BF69" s="11"/>
      <c r="BG69" s="11" t="s">
        <v>233</v>
      </c>
      <c r="BH69" s="11"/>
    </row>
    <row r="70" spans="43:67" x14ac:dyDescent="0.2">
      <c r="AR70" s="11">
        <v>1</v>
      </c>
      <c r="AS70" s="11">
        <v>1</v>
      </c>
      <c r="AT70" s="11">
        <v>1</v>
      </c>
      <c r="AU70" s="11">
        <v>1</v>
      </c>
      <c r="AV70" s="11">
        <v>1</v>
      </c>
      <c r="AW70" s="11">
        <v>1</v>
      </c>
      <c r="AX70" s="11">
        <v>1</v>
      </c>
      <c r="AY70" s="11">
        <v>1</v>
      </c>
      <c r="AZ70" s="11"/>
      <c r="BA70" s="11"/>
      <c r="BB70" s="11"/>
      <c r="BC70" s="11"/>
      <c r="BD70" s="11"/>
      <c r="BE70" s="11"/>
      <c r="BF70" s="11"/>
      <c r="BG70" s="5" t="s">
        <v>5</v>
      </c>
      <c r="BH70" s="39">
        <v>1</v>
      </c>
      <c r="BI70" s="39">
        <v>1</v>
      </c>
      <c r="BJ70" s="39">
        <v>1</v>
      </c>
      <c r="BK70" s="39">
        <v>1</v>
      </c>
      <c r="BL70" s="39">
        <v>1</v>
      </c>
      <c r="BM70" s="39">
        <v>1</v>
      </c>
      <c r="BN70" s="39">
        <v>1</v>
      </c>
      <c r="BO70" s="39">
        <v>1</v>
      </c>
    </row>
    <row r="71" spans="43:67" x14ac:dyDescent="0.2">
      <c r="AR71" s="11">
        <v>0.44637223974763407</v>
      </c>
      <c r="AS71" s="11">
        <v>0.44637223974763407</v>
      </c>
      <c r="AT71" s="11">
        <v>0.44637223974763407</v>
      </c>
      <c r="AU71" s="11">
        <v>0.44637223974763407</v>
      </c>
      <c r="AV71" s="11">
        <v>0.44637223974763407</v>
      </c>
      <c r="AW71" s="11">
        <v>0.44637223974763407</v>
      </c>
      <c r="AX71" s="11">
        <v>0.44637223974763407</v>
      </c>
      <c r="AY71" s="11">
        <v>0.44637223974763407</v>
      </c>
      <c r="AZ71" s="11"/>
      <c r="BA71" s="11"/>
      <c r="BB71" s="11"/>
      <c r="BC71" s="11"/>
      <c r="BD71" s="11"/>
      <c r="BE71" s="11"/>
      <c r="BF71" s="11"/>
      <c r="BG71" s="5" t="s">
        <v>22</v>
      </c>
      <c r="BH71" s="39">
        <v>0.90909090909090906</v>
      </c>
      <c r="BI71" s="39">
        <v>0.90909090909090906</v>
      </c>
      <c r="BJ71" s="39">
        <v>0.90909090909090906</v>
      </c>
      <c r="BK71" s="39">
        <v>0.90909090909090906</v>
      </c>
      <c r="BL71" s="39">
        <v>0.90909090909090906</v>
      </c>
      <c r="BM71" s="39">
        <v>0.90909090909090906</v>
      </c>
      <c r="BN71" s="39">
        <v>0.90909090909090906</v>
      </c>
      <c r="BO71" s="39">
        <v>0.90909090909090906</v>
      </c>
    </row>
    <row r="72" spans="43:67" x14ac:dyDescent="0.2">
      <c r="AR72" s="11">
        <v>0.50236593059936907</v>
      </c>
      <c r="AS72" s="11">
        <v>0.50236593059936907</v>
      </c>
      <c r="AT72" s="11">
        <v>0.50236593059936907</v>
      </c>
      <c r="AU72" s="11">
        <v>0.50236593059936907</v>
      </c>
      <c r="AV72" s="11">
        <v>0.50236593059936907</v>
      </c>
      <c r="AW72" s="11">
        <v>0.50236593059936907</v>
      </c>
      <c r="AX72" s="11">
        <v>0.50236593059936907</v>
      </c>
      <c r="AY72" s="11">
        <v>0.50236593059936907</v>
      </c>
      <c r="AZ72" s="11"/>
      <c r="BA72" s="11"/>
      <c r="BB72" s="11"/>
      <c r="BC72" s="11"/>
      <c r="BD72" s="11"/>
      <c r="BE72" s="11"/>
      <c r="BF72" s="11"/>
      <c r="BG72" s="5" t="s">
        <v>6</v>
      </c>
      <c r="BH72" s="39">
        <v>0.85606060606060597</v>
      </c>
      <c r="BI72" s="39">
        <v>0.85606060606060597</v>
      </c>
      <c r="BJ72" s="39">
        <v>0.85606060606060597</v>
      </c>
      <c r="BK72" s="39">
        <v>0.85606060606060597</v>
      </c>
      <c r="BL72" s="39">
        <v>0.85606060606060597</v>
      </c>
      <c r="BM72" s="39">
        <v>0.85606060606060597</v>
      </c>
      <c r="BN72" s="39">
        <v>0.85606060606060597</v>
      </c>
      <c r="BO72" s="39">
        <v>0.85606060606060597</v>
      </c>
    </row>
    <row r="73" spans="43:67" x14ac:dyDescent="0.2">
      <c r="AR73" s="11">
        <v>0.81427444794952675</v>
      </c>
      <c r="AS73" s="11">
        <v>0.81427444794952675</v>
      </c>
      <c r="AT73" s="11">
        <v>0.81427444794952675</v>
      </c>
      <c r="AU73" s="11">
        <v>0.81427444794952675</v>
      </c>
      <c r="AV73" s="11">
        <v>0.81427444794952675</v>
      </c>
      <c r="AW73" s="11">
        <v>0.81427444794952675</v>
      </c>
      <c r="AX73" s="11">
        <v>0.81427444794952675</v>
      </c>
      <c r="AY73" s="11">
        <v>0.81427444794952675</v>
      </c>
      <c r="AZ73" s="11"/>
      <c r="BA73" s="11"/>
      <c r="BB73" s="11"/>
      <c r="BC73" s="11"/>
      <c r="BD73" s="11"/>
      <c r="BE73" s="11"/>
      <c r="BF73" s="11"/>
      <c r="BG73" s="5" t="s">
        <v>7</v>
      </c>
      <c r="BH73" s="39">
        <v>0.79545454545454541</v>
      </c>
      <c r="BI73" s="39">
        <v>0.79545454545454541</v>
      </c>
      <c r="BJ73" s="39">
        <v>0.79545454545454541</v>
      </c>
      <c r="BK73" s="39">
        <v>0.79545454545454541</v>
      </c>
      <c r="BL73" s="39">
        <v>0.79545454545454541</v>
      </c>
      <c r="BM73" s="39">
        <v>0.79545454545454541</v>
      </c>
      <c r="BN73" s="39">
        <v>0.79545454545454541</v>
      </c>
      <c r="BO73" s="39">
        <v>0.79545454545454541</v>
      </c>
    </row>
    <row r="74" spans="43:67" x14ac:dyDescent="0.2"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5" t="s">
        <v>8</v>
      </c>
      <c r="BH74" s="39">
        <v>0.78787878787878785</v>
      </c>
      <c r="BI74" s="39">
        <v>0.78787878787878785</v>
      </c>
      <c r="BJ74" s="39">
        <v>0.78787878787878785</v>
      </c>
      <c r="BK74" s="39">
        <v>0.78787878787878785</v>
      </c>
      <c r="BL74" s="39">
        <v>0.78787878787878785</v>
      </c>
      <c r="BM74" s="39">
        <v>0.78787878787878785</v>
      </c>
      <c r="BN74" s="39">
        <v>0.78787878787878785</v>
      </c>
      <c r="BO74" s="39">
        <v>0.78787878787878785</v>
      </c>
    </row>
    <row r="75" spans="43:67" x14ac:dyDescent="0.2"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5" t="s">
        <v>9</v>
      </c>
      <c r="BH75" s="39">
        <v>0.78787878787878785</v>
      </c>
      <c r="BI75" s="39">
        <v>0.78787878787878785</v>
      </c>
      <c r="BJ75" s="39">
        <v>0.78787878787878785</v>
      </c>
      <c r="BK75" s="39">
        <v>0.78787878787878785</v>
      </c>
      <c r="BL75" s="39">
        <v>0.78787878787878785</v>
      </c>
      <c r="BM75" s="39">
        <v>0.78787878787878785</v>
      </c>
      <c r="BN75" s="39">
        <v>0.78787878787878785</v>
      </c>
      <c r="BO75" s="39">
        <v>0.78787878787878785</v>
      </c>
    </row>
    <row r="76" spans="43:67" x14ac:dyDescent="0.2"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5" t="s">
        <v>77</v>
      </c>
      <c r="BH76" s="39">
        <v>0.77272727272727271</v>
      </c>
      <c r="BI76" s="39">
        <v>0.77272727272727271</v>
      </c>
      <c r="BJ76" s="39">
        <v>0.77272727272727271</v>
      </c>
      <c r="BK76" s="39">
        <v>0.77272727272727271</v>
      </c>
      <c r="BL76" s="39">
        <v>0.77272727272727271</v>
      </c>
      <c r="BM76" s="39">
        <v>0.77272727272727271</v>
      </c>
      <c r="BN76" s="39">
        <v>0.77272727272727271</v>
      </c>
      <c r="BO76" s="39">
        <v>0.77272727272727271</v>
      </c>
    </row>
    <row r="77" spans="43:67" x14ac:dyDescent="0.2">
      <c r="AQ77" s="5" t="s">
        <v>95</v>
      </c>
      <c r="AR77" s="11">
        <v>1</v>
      </c>
      <c r="AS77" s="11">
        <v>1</v>
      </c>
      <c r="AT77" s="11">
        <v>1</v>
      </c>
      <c r="AU77" s="11">
        <v>1</v>
      </c>
      <c r="AV77" s="11">
        <v>1</v>
      </c>
      <c r="AW77" s="11">
        <v>1</v>
      </c>
      <c r="AX77" s="11">
        <v>1</v>
      </c>
      <c r="AY77" s="11">
        <v>1</v>
      </c>
      <c r="AZ77" s="11"/>
      <c r="BA77" s="11"/>
      <c r="BB77" s="11"/>
      <c r="BC77" s="11"/>
      <c r="BD77" s="11"/>
      <c r="BE77" s="11"/>
      <c r="BF77" s="11"/>
      <c r="BG77" s="5" t="s">
        <v>10</v>
      </c>
      <c r="BH77" s="39">
        <v>0.83333333333333337</v>
      </c>
      <c r="BI77" s="39">
        <v>0.83333333333333337</v>
      </c>
      <c r="BJ77" s="39">
        <v>0.83333333333333337</v>
      </c>
      <c r="BK77" s="39">
        <v>0.83333333333333337</v>
      </c>
      <c r="BL77" s="39">
        <v>0.83333333333333337</v>
      </c>
      <c r="BM77" s="39">
        <v>0.83333333333333337</v>
      </c>
      <c r="BN77" s="39">
        <v>0.83333333333333337</v>
      </c>
      <c r="BO77" s="39">
        <v>0.83333333333333337</v>
      </c>
    </row>
    <row r="78" spans="43:67" x14ac:dyDescent="0.2">
      <c r="AR78" s="11">
        <v>0.98866090712742971</v>
      </c>
      <c r="AS78" s="11">
        <v>0.98866090712742971</v>
      </c>
      <c r="AT78" s="11">
        <v>0.98866090712742971</v>
      </c>
      <c r="AU78" s="11">
        <v>0.98866090712742971</v>
      </c>
      <c r="AV78" s="11">
        <v>0.98866090712742971</v>
      </c>
      <c r="AW78" s="11">
        <v>0.98866090712742971</v>
      </c>
      <c r="AX78" s="11">
        <v>0.98866090712742971</v>
      </c>
      <c r="AY78" s="11">
        <v>0.98866090712742971</v>
      </c>
      <c r="AZ78" s="11"/>
      <c r="BA78" s="11"/>
      <c r="BB78" s="11"/>
      <c r="BC78" s="11"/>
      <c r="BD78" s="11"/>
      <c r="BE78" s="11"/>
      <c r="BF78" s="11"/>
      <c r="BG78" s="5" t="s">
        <v>11</v>
      </c>
      <c r="BH78" s="39">
        <v>0.75</v>
      </c>
      <c r="BI78" s="39">
        <v>0.75</v>
      </c>
      <c r="BJ78" s="39">
        <v>0.75</v>
      </c>
      <c r="BK78" s="39">
        <v>0.75</v>
      </c>
      <c r="BL78" s="39">
        <v>0.75</v>
      </c>
      <c r="BM78" s="39">
        <v>0.75</v>
      </c>
      <c r="BN78" s="39">
        <v>0.75</v>
      </c>
      <c r="BO78" s="39">
        <v>0.75</v>
      </c>
    </row>
    <row r="79" spans="43:67" x14ac:dyDescent="0.2">
      <c r="AR79" s="11">
        <v>0.98866090712742971</v>
      </c>
      <c r="AS79" s="11">
        <v>0.98866090712742971</v>
      </c>
      <c r="AT79" s="11">
        <v>0.98866090712742971</v>
      </c>
      <c r="AU79" s="11">
        <v>0.98866090712742971</v>
      </c>
      <c r="AV79" s="11">
        <v>0.98866090712742971</v>
      </c>
      <c r="AW79" s="11">
        <v>0.98866090712742971</v>
      </c>
      <c r="AX79" s="11">
        <v>0.98866090712742971</v>
      </c>
      <c r="AY79" s="11">
        <v>0.98866090712742971</v>
      </c>
      <c r="AZ79" s="11"/>
      <c r="BA79" s="11"/>
      <c r="BB79" s="11"/>
      <c r="BC79" s="11"/>
      <c r="BD79" s="11"/>
      <c r="BE79" s="11"/>
      <c r="BF79" s="11"/>
      <c r="BG79" s="5" t="s">
        <v>78</v>
      </c>
      <c r="BH79" s="39">
        <v>0.76515151515151514</v>
      </c>
      <c r="BI79" s="39">
        <v>0.76515151515151514</v>
      </c>
      <c r="BJ79" s="39">
        <v>0.76515151515151514</v>
      </c>
      <c r="BK79" s="39">
        <v>0.76515151515151514</v>
      </c>
      <c r="BL79" s="39">
        <v>0.76515151515151514</v>
      </c>
      <c r="BM79" s="39">
        <v>0.76515151515151514</v>
      </c>
      <c r="BN79" s="39">
        <v>0.76515151515151514</v>
      </c>
      <c r="BO79" s="39">
        <v>0.76515151515151514</v>
      </c>
    </row>
    <row r="80" spans="43:67" x14ac:dyDescent="0.2">
      <c r="AR80" s="11">
        <v>0.96652267818574511</v>
      </c>
      <c r="AS80" s="11">
        <v>0.96652267818574511</v>
      </c>
      <c r="AT80" s="11">
        <v>0.96652267818574511</v>
      </c>
      <c r="AU80" s="11">
        <v>0.96652267818574511</v>
      </c>
      <c r="AV80" s="11">
        <v>0.96652267818574511</v>
      </c>
      <c r="AW80" s="11">
        <v>0.96652267818574511</v>
      </c>
      <c r="AX80" s="11">
        <v>0.96652267818574511</v>
      </c>
      <c r="AY80" s="11">
        <v>0.96652267818574511</v>
      </c>
      <c r="AZ80" s="11"/>
      <c r="BA80" s="11"/>
      <c r="BB80" s="11"/>
      <c r="BC80" s="11"/>
      <c r="BD80" s="11"/>
      <c r="BE80" s="11"/>
      <c r="BF80" s="11"/>
      <c r="BG80" s="11"/>
      <c r="BH80" s="11"/>
    </row>
    <row r="81" spans="43:67" x14ac:dyDescent="0.2">
      <c r="AR81" s="11">
        <v>0.95518358531317504</v>
      </c>
      <c r="AS81" s="11">
        <v>0.95518358531317504</v>
      </c>
      <c r="AT81" s="11">
        <v>0.95518358531317504</v>
      </c>
      <c r="AU81" s="11">
        <v>0.95518358531317504</v>
      </c>
      <c r="AV81" s="11">
        <v>0.95518358531317504</v>
      </c>
      <c r="AW81" s="11">
        <v>0.95518358531317504</v>
      </c>
      <c r="AX81" s="11">
        <v>0.95518358531317504</v>
      </c>
      <c r="AY81" s="11">
        <v>0.95518358531317504</v>
      </c>
      <c r="AZ81" s="11"/>
      <c r="BA81" s="11"/>
      <c r="BB81" s="11"/>
      <c r="BC81" s="11"/>
      <c r="BD81" s="11"/>
      <c r="BE81" s="11"/>
      <c r="BF81" s="11"/>
      <c r="BG81" s="11"/>
      <c r="BH81" s="11"/>
    </row>
    <row r="82" spans="43:67" x14ac:dyDescent="0.2">
      <c r="AR82" s="11">
        <v>0.96652267818574511</v>
      </c>
      <c r="AS82" s="11">
        <v>0.96652267818574511</v>
      </c>
      <c r="AT82" s="11">
        <v>0.96652267818574511</v>
      </c>
      <c r="AU82" s="11">
        <v>0.96652267818574511</v>
      </c>
      <c r="AV82" s="11">
        <v>0.96652267818574511</v>
      </c>
      <c r="AW82" s="11">
        <v>0.96652267818574511</v>
      </c>
      <c r="AX82" s="11">
        <v>0.96652267818574511</v>
      </c>
      <c r="AY82" s="11">
        <v>0.96652267818574511</v>
      </c>
      <c r="AZ82" s="11"/>
      <c r="BA82" s="11"/>
      <c r="BB82" s="11"/>
      <c r="BC82" s="11"/>
      <c r="BD82" s="11"/>
      <c r="BE82" s="11"/>
      <c r="BF82" s="11"/>
      <c r="BG82" s="11" t="s">
        <v>235</v>
      </c>
      <c r="BH82" s="11"/>
    </row>
    <row r="83" spans="43:67" x14ac:dyDescent="0.2">
      <c r="AR83" s="11">
        <v>0.97408207343412523</v>
      </c>
      <c r="AS83" s="11">
        <v>0.97408207343412523</v>
      </c>
      <c r="AT83" s="11">
        <v>0.97408207343412523</v>
      </c>
      <c r="AU83" s="11">
        <v>0.97408207343412523</v>
      </c>
      <c r="AV83" s="11">
        <v>0.97408207343412523</v>
      </c>
      <c r="AW83" s="11">
        <v>0.97408207343412523</v>
      </c>
      <c r="AX83" s="11">
        <v>0.97408207343412523</v>
      </c>
      <c r="AY83" s="11">
        <v>0.97408207343412523</v>
      </c>
      <c r="AZ83" s="11"/>
      <c r="BA83" s="11"/>
      <c r="BB83" s="11"/>
      <c r="BC83" s="11"/>
      <c r="BD83" s="11"/>
      <c r="BE83" s="11"/>
      <c r="BF83" s="11"/>
      <c r="BG83" s="5" t="s">
        <v>5</v>
      </c>
      <c r="BH83" s="11">
        <v>0.14077287066246055</v>
      </c>
      <c r="BI83" s="11">
        <v>0.14077287066246055</v>
      </c>
      <c r="BJ83" s="11">
        <v>0.14077287066246055</v>
      </c>
      <c r="BK83" s="11">
        <v>0.14077287066246055</v>
      </c>
      <c r="BL83" s="11">
        <v>0.14077287066246055</v>
      </c>
      <c r="BM83" s="11">
        <v>0.14077287066246055</v>
      </c>
      <c r="BN83" s="11">
        <v>0.14077287066246055</v>
      </c>
      <c r="BO83" s="11">
        <v>0.14077287066246055</v>
      </c>
    </row>
    <row r="84" spans="43:67" x14ac:dyDescent="0.2">
      <c r="AR84" s="11">
        <v>0.96652267818574511</v>
      </c>
      <c r="AS84" s="11">
        <v>0.96652267818574511</v>
      </c>
      <c r="AT84" s="11">
        <v>0.96652267818574511</v>
      </c>
      <c r="AU84" s="11">
        <v>0.96652267818574511</v>
      </c>
      <c r="AV84" s="11">
        <v>0.96652267818574511</v>
      </c>
      <c r="AW84" s="11">
        <v>0.96652267818574511</v>
      </c>
      <c r="AX84" s="11">
        <v>0.96652267818574511</v>
      </c>
      <c r="AY84" s="11">
        <v>0.96652267818574511</v>
      </c>
      <c r="AZ84" s="11"/>
      <c r="BA84" s="11"/>
      <c r="BB84" s="11"/>
      <c r="BC84" s="11"/>
      <c r="BD84" s="11"/>
      <c r="BE84" s="11"/>
      <c r="BF84" s="11"/>
      <c r="BG84" s="5" t="s">
        <v>22</v>
      </c>
      <c r="BH84" s="11">
        <v>1.0410094637223974</v>
      </c>
      <c r="BI84" s="11">
        <v>1.0410094637223974</v>
      </c>
      <c r="BJ84" s="11">
        <v>1.0410094637223974</v>
      </c>
      <c r="BK84" s="11">
        <v>1.0410094637223974</v>
      </c>
      <c r="BL84" s="11">
        <v>1.0410094637223974</v>
      </c>
      <c r="BM84" s="11">
        <v>1.0410094637223974</v>
      </c>
      <c r="BN84" s="11">
        <v>1.0410094637223974</v>
      </c>
      <c r="BO84" s="11">
        <v>1.0410094637223974</v>
      </c>
    </row>
    <row r="85" spans="43:67" x14ac:dyDescent="0.2">
      <c r="AR85" s="11">
        <v>0.97948164146868255</v>
      </c>
      <c r="AS85" s="11">
        <v>0.97948164146868255</v>
      </c>
      <c r="AT85" s="11">
        <v>0.97948164146868255</v>
      </c>
      <c r="AU85" s="11">
        <v>0.97948164146868255</v>
      </c>
      <c r="AV85" s="11">
        <v>0.97948164146868255</v>
      </c>
      <c r="AW85" s="11">
        <v>0.97948164146868255</v>
      </c>
      <c r="AX85" s="11">
        <v>0.97948164146868255</v>
      </c>
      <c r="AY85" s="11">
        <v>0.97948164146868255</v>
      </c>
      <c r="AZ85" s="11"/>
      <c r="BA85" s="11"/>
      <c r="BB85" s="11"/>
      <c r="BC85" s="11"/>
      <c r="BD85" s="11"/>
      <c r="BE85" s="11"/>
      <c r="BF85" s="11"/>
      <c r="BG85" s="5" t="s">
        <v>6</v>
      </c>
      <c r="BH85" s="11">
        <v>0.73501577287066255</v>
      </c>
      <c r="BI85" s="11">
        <v>0.73501577287066255</v>
      </c>
      <c r="BJ85" s="11">
        <v>0.73501577287066255</v>
      </c>
      <c r="BK85" s="11">
        <v>0.73501577287066255</v>
      </c>
      <c r="BL85" s="11">
        <v>0.73501577287066255</v>
      </c>
      <c r="BM85" s="11">
        <v>0.73501577287066255</v>
      </c>
      <c r="BN85" s="11">
        <v>0.73501577287066255</v>
      </c>
      <c r="BO85" s="11">
        <v>0.73501577287066255</v>
      </c>
    </row>
    <row r="86" spans="43:67" x14ac:dyDescent="0.2">
      <c r="AR86" s="11">
        <v>0.97624190064794814</v>
      </c>
      <c r="AS86" s="11">
        <v>0.97624190064794814</v>
      </c>
      <c r="AT86" s="11">
        <v>0.97624190064794814</v>
      </c>
      <c r="AU86" s="11">
        <v>0.97624190064794814</v>
      </c>
      <c r="AV86" s="11">
        <v>0.97624190064794814</v>
      </c>
      <c r="AW86" s="11">
        <v>0.97624190064794814</v>
      </c>
      <c r="AX86" s="11">
        <v>0.97624190064794814</v>
      </c>
      <c r="AY86" s="11">
        <v>0.97624190064794814</v>
      </c>
      <c r="AZ86" s="11"/>
      <c r="BA86" s="11"/>
      <c r="BB86" s="11"/>
      <c r="BC86" s="11"/>
      <c r="BD86" s="11"/>
      <c r="BE86" s="11"/>
      <c r="BF86" s="11"/>
      <c r="BG86" s="5" t="s">
        <v>7</v>
      </c>
      <c r="BH86" s="11">
        <v>0.80717665615141954</v>
      </c>
      <c r="BI86" s="11">
        <v>0.80717665615141954</v>
      </c>
      <c r="BJ86" s="11">
        <v>0.80717665615141954</v>
      </c>
      <c r="BK86" s="11">
        <v>0.80717665615141954</v>
      </c>
      <c r="BL86" s="11">
        <v>0.80717665615141954</v>
      </c>
      <c r="BM86" s="11">
        <v>0.80717665615141954</v>
      </c>
      <c r="BN86" s="11">
        <v>0.80717665615141954</v>
      </c>
      <c r="BO86" s="11">
        <v>0.80717665615141954</v>
      </c>
    </row>
    <row r="87" spans="43:67" x14ac:dyDescent="0.2"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5" t="s">
        <v>8</v>
      </c>
      <c r="BH87" s="11">
        <v>0.64708201892744477</v>
      </c>
      <c r="BI87" s="11">
        <v>0.64708201892744477</v>
      </c>
      <c r="BJ87" s="11">
        <v>0.64708201892744477</v>
      </c>
      <c r="BK87" s="11">
        <v>0.64708201892744477</v>
      </c>
      <c r="BL87" s="11">
        <v>0.64708201892744477</v>
      </c>
      <c r="BM87" s="11">
        <v>0.64708201892744477</v>
      </c>
      <c r="BN87" s="11">
        <v>0.64708201892744477</v>
      </c>
      <c r="BO87" s="11">
        <v>0.64708201892744477</v>
      </c>
    </row>
    <row r="88" spans="43:67" x14ac:dyDescent="0.2">
      <c r="AQ88" s="11" t="s">
        <v>216</v>
      </c>
      <c r="AR88" s="58">
        <f>264.48/270.67</f>
        <v>0.97713082351202574</v>
      </c>
      <c r="AS88" s="58">
        <f t="shared" ref="AS88:AY88" si="84">264.48/270.67</f>
        <v>0.97713082351202574</v>
      </c>
      <c r="AT88" s="58">
        <f t="shared" si="84"/>
        <v>0.97713082351202574</v>
      </c>
      <c r="AU88" s="58">
        <f t="shared" si="84"/>
        <v>0.97713082351202574</v>
      </c>
      <c r="AV88" s="58">
        <f t="shared" si="84"/>
        <v>0.97713082351202574</v>
      </c>
      <c r="AW88" s="58">
        <f t="shared" si="84"/>
        <v>0.97713082351202574</v>
      </c>
      <c r="AX88" s="58">
        <f t="shared" si="84"/>
        <v>0.97713082351202574</v>
      </c>
      <c r="AY88" s="58">
        <f t="shared" si="84"/>
        <v>0.97713082351202574</v>
      </c>
      <c r="AZ88" s="11"/>
      <c r="BA88" s="11"/>
      <c r="BB88" s="11"/>
      <c r="BC88" s="11"/>
      <c r="BD88" s="11"/>
      <c r="BE88" s="11"/>
      <c r="BF88" s="11"/>
      <c r="BG88" s="5" t="s">
        <v>9</v>
      </c>
      <c r="BH88" s="11">
        <v>0.47712933753943215</v>
      </c>
      <c r="BI88" s="11">
        <v>0.47712933753943215</v>
      </c>
      <c r="BJ88" s="11">
        <v>0.47712933753943215</v>
      </c>
      <c r="BK88" s="11">
        <v>0.47712933753943215</v>
      </c>
      <c r="BL88" s="11">
        <v>0.47712933753943215</v>
      </c>
      <c r="BM88" s="11">
        <v>0.47712933753943215</v>
      </c>
      <c r="BN88" s="11">
        <v>0.47712933753943215</v>
      </c>
      <c r="BO88" s="11">
        <v>0.47712933753943215</v>
      </c>
    </row>
    <row r="89" spans="43:67" x14ac:dyDescent="0.2">
      <c r="AQ89" s="11"/>
      <c r="AR89" s="58">
        <f>263.9/270.67</f>
        <v>0.97498799275870973</v>
      </c>
      <c r="AS89" s="58">
        <f t="shared" ref="AS89:AY89" si="85">263.9/270.67</f>
        <v>0.97498799275870973</v>
      </c>
      <c r="AT89" s="58">
        <f t="shared" si="85"/>
        <v>0.97498799275870973</v>
      </c>
      <c r="AU89" s="58">
        <f t="shared" si="85"/>
        <v>0.97498799275870973</v>
      </c>
      <c r="AV89" s="58">
        <f t="shared" si="85"/>
        <v>0.97498799275870973</v>
      </c>
      <c r="AW89" s="58">
        <f t="shared" si="85"/>
        <v>0.97498799275870973</v>
      </c>
      <c r="AX89" s="58">
        <f t="shared" si="85"/>
        <v>0.97498799275870973</v>
      </c>
      <c r="AY89" s="58">
        <f t="shared" si="85"/>
        <v>0.97498799275870973</v>
      </c>
      <c r="AZ89" s="11"/>
      <c r="BA89" s="11"/>
      <c r="BB89" s="11"/>
      <c r="BC89" s="11"/>
      <c r="BD89" s="11"/>
      <c r="BE89" s="11"/>
      <c r="BF89" s="11"/>
      <c r="BG89" s="5" t="s">
        <v>77</v>
      </c>
      <c r="BH89" s="11">
        <v>1</v>
      </c>
      <c r="BI89" s="11">
        <v>1</v>
      </c>
      <c r="BJ89" s="11">
        <v>1</v>
      </c>
      <c r="BK89" s="11">
        <v>1</v>
      </c>
      <c r="BL89" s="11">
        <v>1</v>
      </c>
      <c r="BM89" s="11">
        <v>1</v>
      </c>
      <c r="BN89" s="11">
        <v>1</v>
      </c>
      <c r="BO89" s="11">
        <v>1</v>
      </c>
    </row>
    <row r="90" spans="43:67" x14ac:dyDescent="0.2">
      <c r="AQ90" s="11"/>
      <c r="AR90" s="58">
        <f>270.67/270.67</f>
        <v>1</v>
      </c>
      <c r="AS90" s="58">
        <f t="shared" ref="AS90:AY90" si="86">270.67/270.67</f>
        <v>1</v>
      </c>
      <c r="AT90" s="58">
        <f t="shared" si="86"/>
        <v>1</v>
      </c>
      <c r="AU90" s="58">
        <f t="shared" si="86"/>
        <v>1</v>
      </c>
      <c r="AV90" s="58">
        <f t="shared" si="86"/>
        <v>1</v>
      </c>
      <c r="AW90" s="58">
        <f t="shared" si="86"/>
        <v>1</v>
      </c>
      <c r="AX90" s="58">
        <f t="shared" si="86"/>
        <v>1</v>
      </c>
      <c r="AY90" s="58">
        <f t="shared" si="86"/>
        <v>1</v>
      </c>
      <c r="AZ90" s="11"/>
      <c r="BA90" s="11"/>
      <c r="BB90" s="11"/>
      <c r="BC90" s="11"/>
      <c r="BD90" s="11"/>
      <c r="BE90" s="11"/>
      <c r="BF90" s="11"/>
      <c r="BG90" s="5" t="s">
        <v>10</v>
      </c>
      <c r="BH90" s="11">
        <v>0.44637223974763407</v>
      </c>
      <c r="BI90" s="11">
        <v>0.44637223974763407</v>
      </c>
      <c r="BJ90" s="11">
        <v>0.44637223974763407</v>
      </c>
      <c r="BK90" s="11">
        <v>0.44637223974763407</v>
      </c>
      <c r="BL90" s="11">
        <v>0.44637223974763407</v>
      </c>
      <c r="BM90" s="11">
        <v>0.44637223974763407</v>
      </c>
      <c r="BN90" s="11">
        <v>0.44637223974763407</v>
      </c>
      <c r="BO90" s="11">
        <v>0.44637223974763407</v>
      </c>
    </row>
    <row r="91" spans="43:67" x14ac:dyDescent="0.2">
      <c r="AQ91" s="11"/>
      <c r="AR91" s="58">
        <f>254.03/270.67</f>
        <v>0.93852292459452469</v>
      </c>
      <c r="AS91" s="58">
        <f t="shared" ref="AS91:AY91" si="87">254.03/270.67</f>
        <v>0.93852292459452469</v>
      </c>
      <c r="AT91" s="58">
        <f t="shared" si="87"/>
        <v>0.93852292459452469</v>
      </c>
      <c r="AU91" s="58">
        <f t="shared" si="87"/>
        <v>0.93852292459452469</v>
      </c>
      <c r="AV91" s="58">
        <f t="shared" si="87"/>
        <v>0.93852292459452469</v>
      </c>
      <c r="AW91" s="58">
        <f t="shared" si="87"/>
        <v>0.93852292459452469</v>
      </c>
      <c r="AX91" s="58">
        <f t="shared" si="87"/>
        <v>0.93852292459452469</v>
      </c>
      <c r="AY91" s="58">
        <f t="shared" si="87"/>
        <v>0.93852292459452469</v>
      </c>
      <c r="AZ91" s="11"/>
      <c r="BA91" s="11"/>
      <c r="BB91" s="11"/>
      <c r="BC91" s="11"/>
      <c r="BD91" s="11"/>
      <c r="BE91" s="11"/>
      <c r="BF91" s="11"/>
      <c r="BG91" s="5" t="s">
        <v>11</v>
      </c>
      <c r="BH91" s="11">
        <v>0.50236593059936907</v>
      </c>
      <c r="BI91" s="11">
        <v>0.50236593059936907</v>
      </c>
      <c r="BJ91" s="11">
        <v>0.50236593059936907</v>
      </c>
      <c r="BK91" s="11">
        <v>0.50236593059936907</v>
      </c>
      <c r="BL91" s="11">
        <v>0.50236593059936907</v>
      </c>
      <c r="BM91" s="11">
        <v>0.50236593059936907</v>
      </c>
      <c r="BN91" s="11">
        <v>0.50236593059936907</v>
      </c>
      <c r="BO91" s="11">
        <v>0.50236593059936907</v>
      </c>
    </row>
    <row r="92" spans="43:67" x14ac:dyDescent="0.2">
      <c r="AQ92" s="11"/>
      <c r="AR92" s="58">
        <f>242.9/270.67</f>
        <v>0.89740274134554987</v>
      </c>
      <c r="AS92" s="58">
        <f t="shared" ref="AS92:AY92" si="88">242.9/270.67</f>
        <v>0.89740274134554987</v>
      </c>
      <c r="AT92" s="58">
        <f t="shared" si="88"/>
        <v>0.89740274134554987</v>
      </c>
      <c r="AU92" s="58">
        <f t="shared" si="88"/>
        <v>0.89740274134554987</v>
      </c>
      <c r="AV92" s="58">
        <f t="shared" si="88"/>
        <v>0.89740274134554987</v>
      </c>
      <c r="AW92" s="58">
        <f t="shared" si="88"/>
        <v>0.89740274134554987</v>
      </c>
      <c r="AX92" s="58">
        <f t="shared" si="88"/>
        <v>0.89740274134554987</v>
      </c>
      <c r="AY92" s="58">
        <f t="shared" si="88"/>
        <v>0.89740274134554987</v>
      </c>
      <c r="AZ92" s="11"/>
      <c r="BA92" s="11"/>
      <c r="BB92" s="11"/>
      <c r="BC92" s="11"/>
      <c r="BD92" s="11"/>
      <c r="BE92" s="11"/>
      <c r="BF92" s="11"/>
      <c r="BG92" s="5" t="s">
        <v>78</v>
      </c>
      <c r="BH92" s="11">
        <v>0.81427444794952675</v>
      </c>
      <c r="BI92" s="11">
        <v>0.81427444794952675</v>
      </c>
      <c r="BJ92" s="11">
        <v>0.81427444794952675</v>
      </c>
      <c r="BK92" s="11">
        <v>0.81427444794952675</v>
      </c>
      <c r="BL92" s="11">
        <v>0.81427444794952675</v>
      </c>
      <c r="BM92" s="11">
        <v>0.81427444794952675</v>
      </c>
      <c r="BN92" s="11">
        <v>0.81427444794952675</v>
      </c>
      <c r="BO92" s="11">
        <v>0.81427444794952675</v>
      </c>
    </row>
    <row r="93" spans="43:67" x14ac:dyDescent="0.2">
      <c r="AQ93" s="11"/>
      <c r="AR93" s="58">
        <f>248.57/270.67</f>
        <v>0.91835075922710308</v>
      </c>
      <c r="AS93" s="58">
        <f t="shared" ref="AS93:AY93" si="89">248.57/270.67</f>
        <v>0.91835075922710308</v>
      </c>
      <c r="AT93" s="58">
        <f t="shared" si="89"/>
        <v>0.91835075922710308</v>
      </c>
      <c r="AU93" s="58">
        <f t="shared" si="89"/>
        <v>0.91835075922710308</v>
      </c>
      <c r="AV93" s="58">
        <f t="shared" si="89"/>
        <v>0.91835075922710308</v>
      </c>
      <c r="AW93" s="58">
        <f t="shared" si="89"/>
        <v>0.91835075922710308</v>
      </c>
      <c r="AX93" s="58">
        <f t="shared" si="89"/>
        <v>0.91835075922710308</v>
      </c>
      <c r="AY93" s="58">
        <f t="shared" si="89"/>
        <v>0.91835075922710308</v>
      </c>
      <c r="AZ93" s="11"/>
      <c r="BA93" s="11"/>
      <c r="BB93" s="11"/>
      <c r="BC93" s="11"/>
      <c r="BD93" s="11"/>
      <c r="BE93" s="11"/>
      <c r="BF93" s="11"/>
      <c r="BG93" s="11"/>
      <c r="BH93" s="11"/>
    </row>
    <row r="94" spans="43:67" x14ac:dyDescent="0.2">
      <c r="AQ94" s="11"/>
      <c r="AR94" s="58">
        <f>252.29/270.67</f>
        <v>0.93209443233457712</v>
      </c>
      <c r="AS94" s="58">
        <f t="shared" ref="AS94:AY94" si="90">252.29/270.67</f>
        <v>0.93209443233457712</v>
      </c>
      <c r="AT94" s="58">
        <f t="shared" si="90"/>
        <v>0.93209443233457712</v>
      </c>
      <c r="AU94" s="58">
        <f t="shared" si="90"/>
        <v>0.93209443233457712</v>
      </c>
      <c r="AV94" s="58">
        <f t="shared" si="90"/>
        <v>0.93209443233457712</v>
      </c>
      <c r="AW94" s="58">
        <f t="shared" si="90"/>
        <v>0.93209443233457712</v>
      </c>
      <c r="AX94" s="58">
        <f t="shared" si="90"/>
        <v>0.93209443233457712</v>
      </c>
      <c r="AY94" s="58">
        <f t="shared" si="90"/>
        <v>0.93209443233457712</v>
      </c>
      <c r="AZ94" s="11"/>
      <c r="BA94" s="11"/>
      <c r="BB94" s="11"/>
      <c r="BC94" s="11"/>
      <c r="BD94" s="11"/>
      <c r="BE94" s="11"/>
      <c r="BF94" s="11"/>
      <c r="BG94" s="11"/>
      <c r="BH94" s="11"/>
    </row>
    <row r="95" spans="43:67" x14ac:dyDescent="0.2">
      <c r="AQ95" s="11"/>
      <c r="AR95" s="58">
        <f>240.9/270.67</f>
        <v>0.89001366978239183</v>
      </c>
      <c r="AS95" s="58">
        <f t="shared" ref="AS95:AY95" si="91">240.9/270.67</f>
        <v>0.89001366978239183</v>
      </c>
      <c r="AT95" s="58">
        <f t="shared" si="91"/>
        <v>0.89001366978239183</v>
      </c>
      <c r="AU95" s="58">
        <f t="shared" si="91"/>
        <v>0.89001366978239183</v>
      </c>
      <c r="AV95" s="58">
        <f t="shared" si="91"/>
        <v>0.89001366978239183</v>
      </c>
      <c r="AW95" s="58">
        <f t="shared" si="91"/>
        <v>0.89001366978239183</v>
      </c>
      <c r="AX95" s="58">
        <f t="shared" si="91"/>
        <v>0.89001366978239183</v>
      </c>
      <c r="AY95" s="58">
        <f t="shared" si="91"/>
        <v>0.89001366978239183</v>
      </c>
      <c r="AZ95" s="11"/>
      <c r="BA95" s="11"/>
      <c r="BB95" s="11"/>
      <c r="BC95" s="11"/>
      <c r="BD95" s="11"/>
      <c r="BE95" s="11"/>
      <c r="BF95" s="11"/>
      <c r="BG95" s="11" t="s">
        <v>234</v>
      </c>
      <c r="BH95" s="11"/>
    </row>
    <row r="96" spans="43:67" x14ac:dyDescent="0.2">
      <c r="AQ96" s="11"/>
      <c r="AR96" s="58">
        <f>250.82/270.67</f>
        <v>0.92666346473565586</v>
      </c>
      <c r="AS96" s="58">
        <f t="shared" ref="AS96:AY96" si="92">250.82/270.67</f>
        <v>0.92666346473565586</v>
      </c>
      <c r="AT96" s="58">
        <f t="shared" si="92"/>
        <v>0.92666346473565586</v>
      </c>
      <c r="AU96" s="58">
        <f t="shared" si="92"/>
        <v>0.92666346473565586</v>
      </c>
      <c r="AV96" s="58">
        <f t="shared" si="92"/>
        <v>0.92666346473565586</v>
      </c>
      <c r="AW96" s="58">
        <f t="shared" si="92"/>
        <v>0.92666346473565586</v>
      </c>
      <c r="AX96" s="58">
        <f t="shared" si="92"/>
        <v>0.92666346473565586</v>
      </c>
      <c r="AY96" s="58">
        <f t="shared" si="92"/>
        <v>0.92666346473565586</v>
      </c>
      <c r="AZ96" s="11"/>
      <c r="BA96" s="11"/>
      <c r="BB96" s="11"/>
      <c r="BC96" s="11"/>
      <c r="BD96" s="11"/>
      <c r="BE96" s="11"/>
      <c r="BF96" s="11"/>
      <c r="BG96" s="5" t="s">
        <v>5</v>
      </c>
      <c r="BH96" s="11">
        <v>0.34623101175121812</v>
      </c>
      <c r="BI96" s="11">
        <v>0.34623101175121812</v>
      </c>
      <c r="BJ96" s="11">
        <v>0.34623101175121812</v>
      </c>
      <c r="BK96" s="11">
        <v>0.34623101175121812</v>
      </c>
      <c r="BL96" s="11">
        <v>0.34623101175121812</v>
      </c>
      <c r="BM96" s="11">
        <v>0.34623101175121812</v>
      </c>
      <c r="BN96" s="11">
        <v>0.34623101175121812</v>
      </c>
      <c r="BO96" s="11">
        <v>0.34623101175121812</v>
      </c>
    </row>
    <row r="97" spans="43:67" x14ac:dyDescent="0.2">
      <c r="AQ97" s="11"/>
      <c r="AR97" s="58">
        <f>243.36/270.67</f>
        <v>0.89910222780507632</v>
      </c>
      <c r="AS97" s="58">
        <f t="shared" ref="AS97:AY97" si="93">243.36/270.67</f>
        <v>0.89910222780507632</v>
      </c>
      <c r="AT97" s="58">
        <f t="shared" si="93"/>
        <v>0.89910222780507632</v>
      </c>
      <c r="AU97" s="58">
        <f t="shared" si="93"/>
        <v>0.89910222780507632</v>
      </c>
      <c r="AV97" s="58">
        <f t="shared" si="93"/>
        <v>0.89910222780507632</v>
      </c>
      <c r="AW97" s="58">
        <f t="shared" si="93"/>
        <v>0.89910222780507632</v>
      </c>
      <c r="AX97" s="58">
        <f t="shared" si="93"/>
        <v>0.89910222780507632</v>
      </c>
      <c r="AY97" s="58">
        <f t="shared" si="93"/>
        <v>0.89910222780507632</v>
      </c>
      <c r="AZ97" s="11"/>
      <c r="BA97" s="11"/>
      <c r="BB97" s="11"/>
      <c r="BC97" s="11"/>
      <c r="BD97" s="11"/>
      <c r="BE97" s="11"/>
      <c r="BF97" s="11"/>
      <c r="BG97" s="5" t="s">
        <v>22</v>
      </c>
      <c r="BH97" s="11">
        <v>0.51447406133562623</v>
      </c>
      <c r="BI97" s="11">
        <v>0.51447406133562623</v>
      </c>
      <c r="BJ97" s="11">
        <v>0.51447406133562623</v>
      </c>
      <c r="BK97" s="11">
        <v>0.51447406133562623</v>
      </c>
      <c r="BL97" s="11">
        <v>0.51447406133562623</v>
      </c>
      <c r="BM97" s="11">
        <v>0.51447406133562623</v>
      </c>
      <c r="BN97" s="11">
        <v>0.51447406133562623</v>
      </c>
      <c r="BO97" s="11">
        <v>0.51447406133562623</v>
      </c>
    </row>
    <row r="98" spans="43:67" x14ac:dyDescent="0.2"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5" t="s">
        <v>6</v>
      </c>
      <c r="BH98" s="11">
        <v>0.80567497850386927</v>
      </c>
      <c r="BI98" s="11">
        <v>0.80567497850386927</v>
      </c>
      <c r="BJ98" s="11">
        <v>0.80567497850386927</v>
      </c>
      <c r="BK98" s="11">
        <v>0.80567497850386927</v>
      </c>
      <c r="BL98" s="11">
        <v>0.80567497850386927</v>
      </c>
      <c r="BM98" s="11">
        <v>0.80567497850386927</v>
      </c>
      <c r="BN98" s="11">
        <v>0.80567497850386927</v>
      </c>
      <c r="BO98" s="11">
        <v>0.80567497850386927</v>
      </c>
    </row>
    <row r="99" spans="43:67" x14ac:dyDescent="0.2"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5" t="s">
        <v>7</v>
      </c>
      <c r="BH99" s="11">
        <v>0.47004872456291197</v>
      </c>
      <c r="BI99" s="11">
        <v>0.47004872456291197</v>
      </c>
      <c r="BJ99" s="11">
        <v>0.47004872456291197</v>
      </c>
      <c r="BK99" s="11">
        <v>0.47004872456291197</v>
      </c>
      <c r="BL99" s="11">
        <v>0.47004872456291197</v>
      </c>
      <c r="BM99" s="11">
        <v>0.47004872456291197</v>
      </c>
      <c r="BN99" s="11">
        <v>0.47004872456291197</v>
      </c>
      <c r="BO99" s="11">
        <v>0.47004872456291197</v>
      </c>
    </row>
    <row r="100" spans="43:67" x14ac:dyDescent="0.2"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5" t="s">
        <v>8</v>
      </c>
      <c r="BH100" s="11">
        <v>0.35884207509314986</v>
      </c>
      <c r="BI100" s="11">
        <v>0.35884207509314986</v>
      </c>
      <c r="BJ100" s="11">
        <v>0.35884207509314986</v>
      </c>
      <c r="BK100" s="11">
        <v>0.35884207509314986</v>
      </c>
      <c r="BL100" s="11">
        <v>0.35884207509314986</v>
      </c>
      <c r="BM100" s="11">
        <v>0.35884207509314986</v>
      </c>
      <c r="BN100" s="11">
        <v>0.35884207509314986</v>
      </c>
      <c r="BO100" s="11">
        <v>0.35884207509314986</v>
      </c>
    </row>
    <row r="101" spans="43:67" x14ac:dyDescent="0.2"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5" t="s">
        <v>9</v>
      </c>
      <c r="BH101" s="11">
        <v>0.49441100601891658</v>
      </c>
      <c r="BI101" s="11">
        <v>0.49441100601891658</v>
      </c>
      <c r="BJ101" s="11">
        <v>0.49441100601891658</v>
      </c>
      <c r="BK101" s="11">
        <v>0.49441100601891658</v>
      </c>
      <c r="BL101" s="11">
        <v>0.49441100601891658</v>
      </c>
      <c r="BM101" s="11">
        <v>0.49441100601891658</v>
      </c>
      <c r="BN101" s="11">
        <v>0.49441100601891658</v>
      </c>
      <c r="BO101" s="11">
        <v>0.49441100601891658</v>
      </c>
    </row>
    <row r="102" spans="43:67" x14ac:dyDescent="0.2"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5" t="s">
        <v>77</v>
      </c>
      <c r="BH102" s="11">
        <v>0.69618801948982512</v>
      </c>
      <c r="BI102" s="11">
        <v>0.69618801948982512</v>
      </c>
      <c r="BJ102" s="11">
        <v>0.69618801948982512</v>
      </c>
      <c r="BK102" s="11">
        <v>0.69618801948982512</v>
      </c>
      <c r="BL102" s="11">
        <v>0.69618801948982512</v>
      </c>
      <c r="BM102" s="11">
        <v>0.69618801948982512</v>
      </c>
      <c r="BN102" s="11">
        <v>0.69618801948982512</v>
      </c>
      <c r="BO102" s="11">
        <v>0.69618801948982512</v>
      </c>
    </row>
    <row r="103" spans="43:67" x14ac:dyDescent="0.2"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5" t="s">
        <v>10</v>
      </c>
      <c r="BH103" s="11">
        <v>0.45887073660074523</v>
      </c>
      <c r="BI103" s="11">
        <v>0.45887073660074523</v>
      </c>
      <c r="BJ103" s="11">
        <v>0.45887073660074523</v>
      </c>
      <c r="BK103" s="11">
        <v>0.45887073660074523</v>
      </c>
      <c r="BL103" s="11">
        <v>0.45887073660074523</v>
      </c>
      <c r="BM103" s="11">
        <v>0.45887073660074523</v>
      </c>
      <c r="BN103" s="11">
        <v>0.45887073660074523</v>
      </c>
      <c r="BO103" s="11">
        <v>0.45887073660074523</v>
      </c>
    </row>
    <row r="104" spans="43:67" x14ac:dyDescent="0.2"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5" t="s">
        <v>11</v>
      </c>
      <c r="BH104" s="11">
        <v>1</v>
      </c>
      <c r="BI104" s="11">
        <v>1</v>
      </c>
      <c r="BJ104" s="11">
        <v>1</v>
      </c>
      <c r="BK104" s="11">
        <v>1</v>
      </c>
      <c r="BL104" s="11">
        <v>1</v>
      </c>
      <c r="BM104" s="11">
        <v>1</v>
      </c>
      <c r="BN104" s="11">
        <v>1</v>
      </c>
      <c r="BO104" s="11">
        <v>1</v>
      </c>
    </row>
    <row r="105" spans="43:67" x14ac:dyDescent="0.2"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5" t="s">
        <v>78</v>
      </c>
      <c r="BH105" s="11">
        <v>0.97162510748065345</v>
      </c>
      <c r="BI105" s="11">
        <v>0.97162510748065345</v>
      </c>
      <c r="BJ105" s="11">
        <v>0.97162510748065345</v>
      </c>
      <c r="BK105" s="11">
        <v>0.97162510748065345</v>
      </c>
      <c r="BL105" s="11">
        <v>0.97162510748065345</v>
      </c>
      <c r="BM105" s="11">
        <v>0.97162510748065345</v>
      </c>
      <c r="BN105" s="11">
        <v>0.97162510748065345</v>
      </c>
      <c r="BO105" s="11">
        <v>0.97162510748065345</v>
      </c>
    </row>
    <row r="106" spans="43:67" x14ac:dyDescent="0.2"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</row>
    <row r="107" spans="43:67" x14ac:dyDescent="0.2"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</row>
    <row r="108" spans="43:67" x14ac:dyDescent="0.2"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 t="s">
        <v>236</v>
      </c>
      <c r="BH108" s="11"/>
    </row>
    <row r="109" spans="43:67" x14ac:dyDescent="0.2"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5" t="s">
        <v>5</v>
      </c>
      <c r="BH109" s="11">
        <v>1</v>
      </c>
      <c r="BI109" s="11">
        <v>1</v>
      </c>
      <c r="BJ109" s="11">
        <v>1</v>
      </c>
      <c r="BK109" s="11">
        <v>1</v>
      </c>
      <c r="BL109" s="11">
        <v>1</v>
      </c>
      <c r="BM109" s="11">
        <v>1</v>
      </c>
      <c r="BN109" s="11">
        <v>1</v>
      </c>
      <c r="BO109" s="11">
        <v>1</v>
      </c>
    </row>
    <row r="110" spans="43:67" x14ac:dyDescent="0.2"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5" t="s">
        <v>22</v>
      </c>
      <c r="BH110" s="11">
        <v>0.98866090712742971</v>
      </c>
      <c r="BI110" s="11">
        <v>0.98866090712742971</v>
      </c>
      <c r="BJ110" s="11">
        <v>0.98866090712742971</v>
      </c>
      <c r="BK110" s="11">
        <v>0.98866090712742971</v>
      </c>
      <c r="BL110" s="11">
        <v>0.98866090712742971</v>
      </c>
      <c r="BM110" s="11">
        <v>0.98866090712742971</v>
      </c>
      <c r="BN110" s="11">
        <v>0.98866090712742971</v>
      </c>
      <c r="BO110" s="11">
        <v>0.98866090712742971</v>
      </c>
    </row>
    <row r="111" spans="43:67" x14ac:dyDescent="0.2"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5" t="s">
        <v>6</v>
      </c>
      <c r="BH111" s="11">
        <v>0.98866090712742971</v>
      </c>
      <c r="BI111" s="11">
        <v>0.98866090712742971</v>
      </c>
      <c r="BJ111" s="11">
        <v>0.98866090712742971</v>
      </c>
      <c r="BK111" s="11">
        <v>0.98866090712742971</v>
      </c>
      <c r="BL111" s="11">
        <v>0.98866090712742971</v>
      </c>
      <c r="BM111" s="11">
        <v>0.98866090712742971</v>
      </c>
      <c r="BN111" s="11">
        <v>0.98866090712742971</v>
      </c>
      <c r="BO111" s="11">
        <v>0.98866090712742971</v>
      </c>
    </row>
    <row r="112" spans="43:67" x14ac:dyDescent="0.2"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5" t="s">
        <v>7</v>
      </c>
      <c r="BH112" s="11">
        <v>0.96652267818574511</v>
      </c>
      <c r="BI112" s="11">
        <v>0.96652267818574511</v>
      </c>
      <c r="BJ112" s="11">
        <v>0.96652267818574511</v>
      </c>
      <c r="BK112" s="11">
        <v>0.96652267818574511</v>
      </c>
      <c r="BL112" s="11">
        <v>0.96652267818574511</v>
      </c>
      <c r="BM112" s="11">
        <v>0.96652267818574511</v>
      </c>
      <c r="BN112" s="11">
        <v>0.96652267818574511</v>
      </c>
      <c r="BO112" s="11">
        <v>0.96652267818574511</v>
      </c>
    </row>
    <row r="113" spans="43:67" x14ac:dyDescent="0.2"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5" t="s">
        <v>8</v>
      </c>
      <c r="BH113" s="11">
        <v>0.95518358531317504</v>
      </c>
      <c r="BI113" s="11">
        <v>0.95518358531317504</v>
      </c>
      <c r="BJ113" s="11">
        <v>0.95518358531317504</v>
      </c>
      <c r="BK113" s="11">
        <v>0.95518358531317504</v>
      </c>
      <c r="BL113" s="11">
        <v>0.95518358531317504</v>
      </c>
      <c r="BM113" s="11">
        <v>0.95518358531317504</v>
      </c>
      <c r="BN113" s="11">
        <v>0.95518358531317504</v>
      </c>
      <c r="BO113" s="11">
        <v>0.95518358531317504</v>
      </c>
    </row>
    <row r="114" spans="43:67" x14ac:dyDescent="0.2"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5" t="s">
        <v>9</v>
      </c>
      <c r="BH114" s="11">
        <v>0.96652267818574511</v>
      </c>
      <c r="BI114" s="11">
        <v>0.96652267818574511</v>
      </c>
      <c r="BJ114" s="11">
        <v>0.96652267818574511</v>
      </c>
      <c r="BK114" s="11">
        <v>0.96652267818574511</v>
      </c>
      <c r="BL114" s="11">
        <v>0.96652267818574511</v>
      </c>
      <c r="BM114" s="11">
        <v>0.96652267818574511</v>
      </c>
      <c r="BN114" s="11">
        <v>0.96652267818574511</v>
      </c>
      <c r="BO114" s="11">
        <v>0.96652267818574511</v>
      </c>
    </row>
    <row r="115" spans="43:67" x14ac:dyDescent="0.2"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5" t="s">
        <v>77</v>
      </c>
      <c r="BH115" s="11">
        <v>0.97408207343412523</v>
      </c>
      <c r="BI115" s="11">
        <v>0.97408207343412523</v>
      </c>
      <c r="BJ115" s="11">
        <v>0.97408207343412523</v>
      </c>
      <c r="BK115" s="11">
        <v>0.97408207343412523</v>
      </c>
      <c r="BL115" s="11">
        <v>0.97408207343412523</v>
      </c>
      <c r="BM115" s="11">
        <v>0.97408207343412523</v>
      </c>
      <c r="BN115" s="11">
        <v>0.97408207343412523</v>
      </c>
      <c r="BO115" s="11">
        <v>0.97408207343412523</v>
      </c>
    </row>
    <row r="116" spans="43:67" x14ac:dyDescent="0.2"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5" t="s">
        <v>10</v>
      </c>
      <c r="BH116" s="11">
        <v>0.96652267818574511</v>
      </c>
      <c r="BI116" s="11">
        <v>0.96652267818574511</v>
      </c>
      <c r="BJ116" s="11">
        <v>0.96652267818574511</v>
      </c>
      <c r="BK116" s="11">
        <v>0.96652267818574511</v>
      </c>
      <c r="BL116" s="11">
        <v>0.96652267818574511</v>
      </c>
      <c r="BM116" s="11">
        <v>0.96652267818574511</v>
      </c>
      <c r="BN116" s="11">
        <v>0.96652267818574511</v>
      </c>
      <c r="BO116" s="11">
        <v>0.96652267818574511</v>
      </c>
    </row>
    <row r="117" spans="43:67" x14ac:dyDescent="0.2"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5" t="s">
        <v>11</v>
      </c>
      <c r="BH117" s="11">
        <v>0.97948164146868255</v>
      </c>
      <c r="BI117" s="11">
        <v>0.97948164146868255</v>
      </c>
      <c r="BJ117" s="11">
        <v>0.97948164146868255</v>
      </c>
      <c r="BK117" s="11">
        <v>0.97948164146868255</v>
      </c>
      <c r="BL117" s="11">
        <v>0.97948164146868255</v>
      </c>
      <c r="BM117" s="11">
        <v>0.97948164146868255</v>
      </c>
      <c r="BN117" s="11">
        <v>0.97948164146868255</v>
      </c>
      <c r="BO117" s="11">
        <v>0.97948164146868255</v>
      </c>
    </row>
    <row r="118" spans="43:67" x14ac:dyDescent="0.2"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5" t="s">
        <v>78</v>
      </c>
      <c r="BH118" s="11">
        <v>0.97624190064794814</v>
      </c>
      <c r="BI118" s="11">
        <v>0.97624190064794814</v>
      </c>
      <c r="BJ118" s="11">
        <v>0.97624190064794814</v>
      </c>
      <c r="BK118" s="11">
        <v>0.97624190064794814</v>
      </c>
      <c r="BL118" s="11">
        <v>0.97624190064794814</v>
      </c>
      <c r="BM118" s="11">
        <v>0.97624190064794814</v>
      </c>
      <c r="BN118" s="11">
        <v>0.97624190064794814</v>
      </c>
      <c r="BO118" s="11">
        <v>0.97624190064794814</v>
      </c>
    </row>
    <row r="119" spans="43:67" x14ac:dyDescent="0.2"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</row>
    <row r="120" spans="43:67" x14ac:dyDescent="0.2"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</row>
    <row r="121" spans="43:67" x14ac:dyDescent="0.2"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 t="s">
        <v>237</v>
      </c>
      <c r="BH121" s="11"/>
    </row>
    <row r="122" spans="43:67" x14ac:dyDescent="0.2"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5" t="s">
        <v>5</v>
      </c>
      <c r="BH122" s="11">
        <v>0.78212290502793291</v>
      </c>
      <c r="BI122" s="11">
        <v>0.78212290502793291</v>
      </c>
      <c r="BJ122" s="11">
        <v>0.78212290502793291</v>
      </c>
      <c r="BK122" s="11">
        <v>0.78212290502793291</v>
      </c>
      <c r="BL122" s="11">
        <v>0.78212290502793291</v>
      </c>
      <c r="BM122" s="11">
        <v>0.78212290502793291</v>
      </c>
      <c r="BN122" s="11">
        <v>0.78212290502793291</v>
      </c>
      <c r="BO122" s="11">
        <v>0.78212290502793291</v>
      </c>
    </row>
    <row r="123" spans="43:67" x14ac:dyDescent="0.2"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5" t="s">
        <v>22</v>
      </c>
      <c r="BH123" s="11">
        <v>0.89385474860335201</v>
      </c>
      <c r="BI123" s="11">
        <v>0.89385474860335201</v>
      </c>
      <c r="BJ123" s="11">
        <v>0.89385474860335201</v>
      </c>
      <c r="BK123" s="11">
        <v>0.89385474860335201</v>
      </c>
      <c r="BL123" s="11">
        <v>0.89385474860335201</v>
      </c>
      <c r="BM123" s="11">
        <v>0.89385474860335201</v>
      </c>
      <c r="BN123" s="11">
        <v>0.89385474860335201</v>
      </c>
      <c r="BO123" s="11">
        <v>0.89385474860335201</v>
      </c>
    </row>
    <row r="124" spans="43:67" x14ac:dyDescent="0.2"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5" t="s">
        <v>6</v>
      </c>
      <c r="BH124" s="11">
        <v>1</v>
      </c>
      <c r="BI124" s="11">
        <v>1</v>
      </c>
      <c r="BJ124" s="11">
        <v>1</v>
      </c>
      <c r="BK124" s="11">
        <v>1</v>
      </c>
      <c r="BL124" s="11">
        <v>1</v>
      </c>
      <c r="BM124" s="11">
        <v>1</v>
      </c>
      <c r="BN124" s="11">
        <v>1</v>
      </c>
      <c r="BO124" s="11">
        <v>1</v>
      </c>
    </row>
    <row r="125" spans="43:67" x14ac:dyDescent="0.2"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5" t="s">
        <v>7</v>
      </c>
      <c r="BH125" s="11">
        <v>0.7039106145251397</v>
      </c>
      <c r="BI125" s="11">
        <v>0.7039106145251397</v>
      </c>
      <c r="BJ125" s="11">
        <v>0.7039106145251397</v>
      </c>
      <c r="BK125" s="11">
        <v>0.7039106145251397</v>
      </c>
      <c r="BL125" s="11">
        <v>0.7039106145251397</v>
      </c>
      <c r="BM125" s="11">
        <v>0.7039106145251397</v>
      </c>
      <c r="BN125" s="11">
        <v>0.7039106145251397</v>
      </c>
      <c r="BO125" s="11">
        <v>0.7039106145251397</v>
      </c>
    </row>
    <row r="126" spans="43:67" x14ac:dyDescent="0.2"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5" t="s">
        <v>8</v>
      </c>
      <c r="BH126" s="11">
        <v>0.65642458100558665</v>
      </c>
      <c r="BI126" s="11">
        <v>0.65642458100558665</v>
      </c>
      <c r="BJ126" s="11">
        <v>0.65642458100558665</v>
      </c>
      <c r="BK126" s="11">
        <v>0.65642458100558665</v>
      </c>
      <c r="BL126" s="11">
        <v>0.65642458100558665</v>
      </c>
      <c r="BM126" s="11">
        <v>0.65642458100558665</v>
      </c>
      <c r="BN126" s="11">
        <v>0.65642458100558665</v>
      </c>
      <c r="BO126" s="11">
        <v>0.65642458100558665</v>
      </c>
    </row>
    <row r="127" spans="43:67" x14ac:dyDescent="0.2"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5" t="s">
        <v>9</v>
      </c>
      <c r="BH127" s="11">
        <v>0.72067039106145248</v>
      </c>
      <c r="BI127" s="11">
        <v>0.72067039106145248</v>
      </c>
      <c r="BJ127" s="11">
        <v>0.72067039106145248</v>
      </c>
      <c r="BK127" s="11">
        <v>0.72067039106145248</v>
      </c>
      <c r="BL127" s="11">
        <v>0.72067039106145248</v>
      </c>
      <c r="BM127" s="11">
        <v>0.72067039106145248</v>
      </c>
      <c r="BN127" s="11">
        <v>0.72067039106145248</v>
      </c>
      <c r="BO127" s="11">
        <v>0.72067039106145248</v>
      </c>
    </row>
    <row r="128" spans="43:67" x14ac:dyDescent="0.2"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5" t="s">
        <v>77</v>
      </c>
      <c r="BH128" s="11">
        <v>0.72905027932960886</v>
      </c>
      <c r="BI128" s="11">
        <v>0.72905027932960886</v>
      </c>
      <c r="BJ128" s="11">
        <v>0.72905027932960886</v>
      </c>
      <c r="BK128" s="11">
        <v>0.72905027932960886</v>
      </c>
      <c r="BL128" s="11">
        <v>0.72905027932960886</v>
      </c>
      <c r="BM128" s="11">
        <v>0.72905027932960886</v>
      </c>
      <c r="BN128" s="11">
        <v>0.72905027932960886</v>
      </c>
      <c r="BO128" s="11">
        <v>0.72905027932960886</v>
      </c>
    </row>
    <row r="129" spans="43:67" x14ac:dyDescent="0.2"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5" t="s">
        <v>10</v>
      </c>
      <c r="BH129" s="11">
        <v>0.61452513966480449</v>
      </c>
      <c r="BI129" s="11">
        <v>0.61452513966480449</v>
      </c>
      <c r="BJ129" s="11">
        <v>0.61452513966480449</v>
      </c>
      <c r="BK129" s="11">
        <v>0.61452513966480449</v>
      </c>
      <c r="BL129" s="11">
        <v>0.61452513966480449</v>
      </c>
      <c r="BM129" s="11">
        <v>0.61452513966480449</v>
      </c>
      <c r="BN129" s="11">
        <v>0.61452513966480449</v>
      </c>
      <c r="BO129" s="11">
        <v>0.61452513966480449</v>
      </c>
    </row>
    <row r="130" spans="43:67" x14ac:dyDescent="0.2"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5" t="s">
        <v>11</v>
      </c>
      <c r="BH130" s="11">
        <v>0.82402234636871508</v>
      </c>
      <c r="BI130" s="11">
        <v>0.82402234636871508</v>
      </c>
      <c r="BJ130" s="11">
        <v>0.82402234636871508</v>
      </c>
      <c r="BK130" s="11">
        <v>0.82402234636871508</v>
      </c>
      <c r="BL130" s="11">
        <v>0.82402234636871508</v>
      </c>
      <c r="BM130" s="11">
        <v>0.82402234636871508</v>
      </c>
      <c r="BN130" s="11">
        <v>0.82402234636871508</v>
      </c>
      <c r="BO130" s="11">
        <v>0.82402234636871508</v>
      </c>
    </row>
    <row r="131" spans="43:67" x14ac:dyDescent="0.2"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5" t="s">
        <v>78</v>
      </c>
      <c r="BH131" s="11">
        <v>0.73743016759776536</v>
      </c>
      <c r="BI131" s="11">
        <v>0.73743016759776536</v>
      </c>
      <c r="BJ131" s="11">
        <v>0.73743016759776536</v>
      </c>
      <c r="BK131" s="11">
        <v>0.73743016759776536</v>
      </c>
      <c r="BL131" s="11">
        <v>0.73743016759776536</v>
      </c>
      <c r="BM131" s="11">
        <v>0.73743016759776536</v>
      </c>
      <c r="BN131" s="11">
        <v>0.73743016759776536</v>
      </c>
      <c r="BO131" s="11">
        <v>0.73743016759776536</v>
      </c>
    </row>
    <row r="132" spans="43:67" x14ac:dyDescent="0.2"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</row>
    <row r="133" spans="43:67" x14ac:dyDescent="0.2"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</row>
    <row r="134" spans="43:67" x14ac:dyDescent="0.2"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 t="s">
        <v>239</v>
      </c>
      <c r="BH134" s="11"/>
    </row>
    <row r="135" spans="43:67" x14ac:dyDescent="0.2"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5" t="s">
        <v>5</v>
      </c>
      <c r="BH135" s="11">
        <v>1</v>
      </c>
      <c r="BI135" s="11">
        <v>1</v>
      </c>
      <c r="BJ135" s="11">
        <v>1</v>
      </c>
      <c r="BK135" s="11">
        <v>1</v>
      </c>
      <c r="BL135" s="11">
        <v>1</v>
      </c>
      <c r="BM135" s="11">
        <v>1</v>
      </c>
      <c r="BN135" s="11">
        <v>1</v>
      </c>
      <c r="BO135" s="11">
        <v>1</v>
      </c>
    </row>
    <row r="136" spans="43:67" x14ac:dyDescent="0.2"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5" t="s">
        <v>22</v>
      </c>
      <c r="BH136" s="11">
        <v>0.84615384615384615</v>
      </c>
      <c r="BI136" s="11">
        <v>0.84615384615384615</v>
      </c>
      <c r="BJ136" s="11">
        <v>0.84615384615384615</v>
      </c>
      <c r="BK136" s="11">
        <v>0.84615384615384615</v>
      </c>
      <c r="BL136" s="11">
        <v>0.84615384615384615</v>
      </c>
      <c r="BM136" s="11">
        <v>0.84615384615384615</v>
      </c>
      <c r="BN136" s="11">
        <v>0.84615384615384615</v>
      </c>
      <c r="BO136" s="11">
        <v>0.84615384615384615</v>
      </c>
    </row>
    <row r="137" spans="43:67" x14ac:dyDescent="0.2"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5" t="s">
        <v>6</v>
      </c>
      <c r="BH137" s="11">
        <v>0.84615384615384615</v>
      </c>
      <c r="BI137" s="11">
        <v>0.84615384615384615</v>
      </c>
      <c r="BJ137" s="11">
        <v>0.84615384615384615</v>
      </c>
      <c r="BK137" s="11">
        <v>0.84615384615384615</v>
      </c>
      <c r="BL137" s="11">
        <v>0.84615384615384615</v>
      </c>
      <c r="BM137" s="11">
        <v>0.84615384615384615</v>
      </c>
      <c r="BN137" s="11">
        <v>0.84615384615384615</v>
      </c>
      <c r="BO137" s="11">
        <v>0.84615384615384615</v>
      </c>
    </row>
    <row r="138" spans="43:67" x14ac:dyDescent="0.2"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5" t="s">
        <v>7</v>
      </c>
      <c r="BH138" s="11">
        <v>0.53846153846153855</v>
      </c>
      <c r="BI138" s="11">
        <v>0.53846153846153855</v>
      </c>
      <c r="BJ138" s="11">
        <v>0.53846153846153855</v>
      </c>
      <c r="BK138" s="11">
        <v>0.53846153846153855</v>
      </c>
      <c r="BL138" s="11">
        <v>0.53846153846153855</v>
      </c>
      <c r="BM138" s="11">
        <v>0.53846153846153855</v>
      </c>
      <c r="BN138" s="11">
        <v>0.53846153846153855</v>
      </c>
      <c r="BO138" s="11">
        <v>0.53846153846153855</v>
      </c>
    </row>
    <row r="139" spans="43:67" x14ac:dyDescent="0.2"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5" t="s">
        <v>8</v>
      </c>
      <c r="BH139" s="11">
        <v>0.38461538461538464</v>
      </c>
      <c r="BI139" s="11">
        <v>0.38461538461538464</v>
      </c>
      <c r="BJ139" s="11">
        <v>0.38461538461538464</v>
      </c>
      <c r="BK139" s="11">
        <v>0.38461538461538464</v>
      </c>
      <c r="BL139" s="11">
        <v>0.38461538461538464</v>
      </c>
      <c r="BM139" s="11">
        <v>0.38461538461538464</v>
      </c>
      <c r="BN139" s="11">
        <v>0.38461538461538464</v>
      </c>
      <c r="BO139" s="11">
        <v>0.38461538461538464</v>
      </c>
    </row>
    <row r="140" spans="43:67" x14ac:dyDescent="0.2"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5" t="s">
        <v>9</v>
      </c>
      <c r="BH140" s="11">
        <v>0.38461538461538464</v>
      </c>
      <c r="BI140" s="11">
        <v>0.38461538461538464</v>
      </c>
      <c r="BJ140" s="11">
        <v>0.38461538461538464</v>
      </c>
      <c r="BK140" s="11">
        <v>0.38461538461538464</v>
      </c>
      <c r="BL140" s="11">
        <v>0.38461538461538464</v>
      </c>
      <c r="BM140" s="11">
        <v>0.38461538461538464</v>
      </c>
      <c r="BN140" s="11">
        <v>0.38461538461538464</v>
      </c>
      <c r="BO140" s="11">
        <v>0.38461538461538464</v>
      </c>
    </row>
    <row r="141" spans="43:67" x14ac:dyDescent="0.2"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5" t="s">
        <v>77</v>
      </c>
      <c r="BH141" s="11">
        <v>0.30769230769230771</v>
      </c>
      <c r="BI141" s="11">
        <v>0.30769230769230771</v>
      </c>
      <c r="BJ141" s="11">
        <v>0.30769230769230771</v>
      </c>
      <c r="BK141" s="11">
        <v>0.30769230769230771</v>
      </c>
      <c r="BL141" s="11">
        <v>0.30769230769230771</v>
      </c>
      <c r="BM141" s="11">
        <v>0.30769230769230771</v>
      </c>
      <c r="BN141" s="11">
        <v>0.30769230769230771</v>
      </c>
      <c r="BO141" s="11">
        <v>0.30769230769230771</v>
      </c>
    </row>
    <row r="142" spans="43:67" x14ac:dyDescent="0.2"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5" t="s">
        <v>10</v>
      </c>
      <c r="BH142" s="11">
        <v>0.30769230769230771</v>
      </c>
      <c r="BI142" s="11">
        <v>0.30769230769230771</v>
      </c>
      <c r="BJ142" s="11">
        <v>0.30769230769230771</v>
      </c>
      <c r="BK142" s="11">
        <v>0.30769230769230771</v>
      </c>
      <c r="BL142" s="11">
        <v>0.30769230769230771</v>
      </c>
      <c r="BM142" s="11">
        <v>0.30769230769230771</v>
      </c>
      <c r="BN142" s="11">
        <v>0.30769230769230771</v>
      </c>
      <c r="BO142" s="11">
        <v>0.30769230769230771</v>
      </c>
    </row>
    <row r="143" spans="43:67" x14ac:dyDescent="0.2"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5" t="s">
        <v>11</v>
      </c>
      <c r="BH143" s="11">
        <v>0.76923076923076927</v>
      </c>
      <c r="BI143" s="11">
        <v>0.76923076923076927</v>
      </c>
      <c r="BJ143" s="11">
        <v>0.76923076923076927</v>
      </c>
      <c r="BK143" s="11">
        <v>0.76923076923076927</v>
      </c>
      <c r="BL143" s="11">
        <v>0.76923076923076927</v>
      </c>
      <c r="BM143" s="11">
        <v>0.76923076923076927</v>
      </c>
      <c r="BN143" s="11">
        <v>0.76923076923076927</v>
      </c>
      <c r="BO143" s="11">
        <v>0.76923076923076927</v>
      </c>
    </row>
    <row r="144" spans="43:67" x14ac:dyDescent="0.2"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5" t="s">
        <v>78</v>
      </c>
      <c r="BH144" s="11">
        <v>0.23076923076923075</v>
      </c>
      <c r="BI144" s="11">
        <v>0.23076923076923075</v>
      </c>
      <c r="BJ144" s="11">
        <v>0.23076923076923075</v>
      </c>
      <c r="BK144" s="11">
        <v>0.23076923076923075</v>
      </c>
      <c r="BL144" s="11">
        <v>0.23076923076923075</v>
      </c>
      <c r="BM144" s="11">
        <v>0.23076923076923075</v>
      </c>
      <c r="BN144" s="11">
        <v>0.23076923076923075</v>
      </c>
      <c r="BO144" s="11">
        <v>0.23076923076923075</v>
      </c>
    </row>
    <row r="145" spans="43:60" x14ac:dyDescent="0.2"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</row>
    <row r="146" spans="43:60" x14ac:dyDescent="0.2"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</row>
    <row r="147" spans="43:60" x14ac:dyDescent="0.2"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</row>
    <row r="148" spans="43:60" x14ac:dyDescent="0.2"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zoomScale="55" zoomScaleNormal="55" workbookViewId="0">
      <selection activeCell="AT33" sqref="AT33"/>
    </sheetView>
  </sheetViews>
  <sheetFormatPr defaultColWidth="8.625" defaultRowHeight="14.25" x14ac:dyDescent="0.2"/>
  <cols>
    <col min="1" max="7" width="8.625" style="45"/>
    <col min="8" max="8" width="12.5" style="45" bestFit="1" customWidth="1"/>
    <col min="9" max="9" width="12.5" style="45" customWidth="1"/>
    <col min="10" max="10" width="8.625" style="48"/>
    <col min="11" max="16384" width="8.625" style="45"/>
  </cols>
  <sheetData>
    <row r="1" spans="1:18" ht="33" thickTop="1" thickBot="1" x14ac:dyDescent="0.3">
      <c r="A1" s="71" t="s">
        <v>191</v>
      </c>
      <c r="B1" s="41" t="s">
        <v>192</v>
      </c>
      <c r="C1" s="41" t="s">
        <v>193</v>
      </c>
      <c r="D1" s="71" t="s">
        <v>194</v>
      </c>
      <c r="E1" s="41" t="s">
        <v>195</v>
      </c>
      <c r="F1" s="71" t="s">
        <v>196</v>
      </c>
      <c r="G1" s="71" t="s">
        <v>197</v>
      </c>
      <c r="H1" s="42" t="s">
        <v>190</v>
      </c>
      <c r="I1" s="42"/>
      <c r="J1" s="43" t="s">
        <v>198</v>
      </c>
      <c r="K1" s="40" t="s">
        <v>178</v>
      </c>
      <c r="L1" s="40" t="s">
        <v>54</v>
      </c>
      <c r="M1" s="40" t="s">
        <v>61</v>
      </c>
      <c r="N1" s="40" t="s">
        <v>63</v>
      </c>
      <c r="O1" s="40" t="s">
        <v>179</v>
      </c>
      <c r="P1" s="40" t="s">
        <v>182</v>
      </c>
      <c r="Q1" s="40" t="s">
        <v>185</v>
      </c>
      <c r="R1" s="44" t="s">
        <v>186</v>
      </c>
    </row>
    <row r="2" spans="1:18" ht="16.5" thickTop="1" x14ac:dyDescent="0.25">
      <c r="A2" s="72"/>
      <c r="B2" s="40"/>
      <c r="C2" s="40"/>
      <c r="D2" s="72"/>
      <c r="E2" s="40"/>
      <c r="F2" s="72"/>
      <c r="G2" s="72"/>
      <c r="H2" s="42"/>
      <c r="I2" s="42">
        <v>1</v>
      </c>
      <c r="J2" s="43">
        <v>1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40">
        <v>0</v>
      </c>
    </row>
    <row r="3" spans="1:18" ht="15.75" x14ac:dyDescent="0.25">
      <c r="A3" s="72"/>
      <c r="B3" s="40"/>
      <c r="C3" s="40"/>
      <c r="D3" s="72"/>
      <c r="E3" s="40"/>
      <c r="F3" s="72"/>
      <c r="G3" s="72"/>
      <c r="H3" s="42"/>
      <c r="I3" s="42">
        <f t="shared" ref="I3:I36" si="0">I2+1</f>
        <v>2</v>
      </c>
      <c r="J3" s="43">
        <v>2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40">
        <v>0</v>
      </c>
    </row>
    <row r="4" spans="1:18" ht="15.75" x14ac:dyDescent="0.25">
      <c r="A4" s="72"/>
      <c r="B4" s="40"/>
      <c r="C4" s="40"/>
      <c r="D4" s="72"/>
      <c r="E4" s="40"/>
      <c r="F4" s="72"/>
      <c r="G4" s="72"/>
      <c r="H4" s="42"/>
      <c r="I4" s="42">
        <f t="shared" si="0"/>
        <v>3</v>
      </c>
      <c r="J4" s="43">
        <v>3</v>
      </c>
      <c r="K4" s="49">
        <f>0.5*1.225*0.89*0.5*3.14*(158/2)^2*J4^3/1000000</f>
        <v>0.14421608404875003</v>
      </c>
      <c r="L4" s="49">
        <f>0.5*1.225*0.79*0.5*3.14*(171/2)^2*J4^3/1000000</f>
        <v>0.14994390960281251</v>
      </c>
      <c r="M4" s="49">
        <v>0</v>
      </c>
      <c r="N4" s="49">
        <v>0</v>
      </c>
      <c r="O4" s="49">
        <f>0.5*1.225*0.3*0.5*3.14*(266/2)^2*J4^3/1000000</f>
        <v>0.13778249546250002</v>
      </c>
      <c r="P4" s="49">
        <f>0.5*1.225*0.6*0.5*3.14*(226/2)^2*J4^3/1000000</f>
        <v>0.19891963192500003</v>
      </c>
      <c r="Q4" s="49">
        <f>0.5*1.225*0.47*0.5*3.14*(252/2)^2*J4^3/1000000</f>
        <v>0.19373516536499999</v>
      </c>
      <c r="R4" s="49">
        <f>0.5*1.225*0.41*0.5*3.14*(256/2)^2*J4^3/1000000</f>
        <v>0.17441077247999998</v>
      </c>
    </row>
    <row r="5" spans="1:18" ht="16.5" thickBot="1" x14ac:dyDescent="0.3">
      <c r="A5" s="73"/>
      <c r="B5" s="46" t="s">
        <v>187</v>
      </c>
      <c r="C5" s="46" t="s">
        <v>188</v>
      </c>
      <c r="D5" s="73"/>
      <c r="E5" s="46" t="s">
        <v>189</v>
      </c>
      <c r="F5" s="73"/>
      <c r="G5" s="73"/>
      <c r="H5" s="42"/>
      <c r="I5" s="42">
        <f t="shared" si="0"/>
        <v>4</v>
      </c>
      <c r="J5" s="40">
        <v>4</v>
      </c>
      <c r="K5" s="49">
        <f t="shared" ref="K5:K11" si="1">0.5*1.225*0.89*0.5*3.14*(158/2)^2*J5^3/1000000</f>
        <v>0.34184553256000005</v>
      </c>
      <c r="L5" s="49">
        <f t="shared" ref="L5:L11" si="2">0.5*1.225*0.79*0.5*3.14*(171/2)^2*J5^3/1000000</f>
        <v>0.35542260054000008</v>
      </c>
      <c r="M5" s="49">
        <f t="shared" ref="M5:M11" si="3">0.5*1.225*0.64*0.5*3.14*(116/2)^2*J5^3/1000000</f>
        <v>0.13250177024000001</v>
      </c>
      <c r="N5" s="49">
        <f t="shared" ref="N5:N11" si="4">0.5*1.225*0.8*0.5*3.14*(185/2)^2*J5^3/1000000</f>
        <v>0.42126868000000006</v>
      </c>
      <c r="O5" s="49">
        <f t="shared" ref="O5:O11" si="5">0.5*1.225*0.3*0.5*3.14*(266/2)^2*J5^3/1000000</f>
        <v>0.32659554480000003</v>
      </c>
      <c r="P5" s="49">
        <f t="shared" ref="P5:P11" si="6">0.5*1.225*0.6*0.5*3.14*(226/2)^2*J5^3/1000000</f>
        <v>0.47151320160000004</v>
      </c>
      <c r="Q5" s="49">
        <f t="shared" ref="Q5:Q11" si="7">0.5*1.225*0.47*0.5*3.14*(252/2)^2*J5^3/1000000</f>
        <v>0.45922409567999994</v>
      </c>
      <c r="R5" s="49">
        <f t="shared" ref="R5:R11" si="8">0.5*1.225*0.41*0.5*3.14*(256/2)^2*J5^3/1000000</f>
        <v>0.41341812736</v>
      </c>
    </row>
    <row r="6" spans="1:18" ht="31.5" x14ac:dyDescent="0.25">
      <c r="A6" s="40" t="s">
        <v>178</v>
      </c>
      <c r="B6" s="40">
        <v>5.5</v>
      </c>
      <c r="C6" s="40">
        <v>158</v>
      </c>
      <c r="D6" s="40">
        <v>3</v>
      </c>
      <c r="E6" s="40">
        <v>10.1</v>
      </c>
      <c r="F6" s="40">
        <v>30</v>
      </c>
      <c r="G6" s="40">
        <v>70</v>
      </c>
      <c r="H6" s="47">
        <f>B6/(((0.5*1.225*0.5*3.14*(C6/2)^2)*(E6^3))/1000000)</f>
        <v>0.8894850234422863</v>
      </c>
      <c r="I6" s="42">
        <f t="shared" si="0"/>
        <v>5</v>
      </c>
      <c r="J6" s="40">
        <v>5</v>
      </c>
      <c r="K6" s="49">
        <f t="shared" si="1"/>
        <v>0.66766705578125007</v>
      </c>
      <c r="L6" s="49">
        <f t="shared" si="2"/>
        <v>0.69418476667968765</v>
      </c>
      <c r="M6" s="49">
        <f t="shared" si="3"/>
        <v>0.25879252000000003</v>
      </c>
      <c r="N6" s="49">
        <f t="shared" si="4"/>
        <v>0.82279039062500015</v>
      </c>
      <c r="O6" s="49">
        <f t="shared" si="5"/>
        <v>0.63788192343750005</v>
      </c>
      <c r="P6" s="49">
        <f t="shared" si="6"/>
        <v>0.920924221875</v>
      </c>
      <c r="Q6" s="49">
        <f t="shared" si="7"/>
        <v>0.8969220618749999</v>
      </c>
      <c r="R6" s="49">
        <f t="shared" si="8"/>
        <v>0.80745727999999994</v>
      </c>
    </row>
    <row r="7" spans="1:18" ht="31.5" x14ac:dyDescent="0.25">
      <c r="A7" s="40" t="s">
        <v>54</v>
      </c>
      <c r="B7" s="40">
        <v>6.45</v>
      </c>
      <c r="C7" s="40">
        <v>171</v>
      </c>
      <c r="D7" s="40">
        <v>3</v>
      </c>
      <c r="E7" s="40">
        <v>10.5</v>
      </c>
      <c r="F7" s="40">
        <v>25</v>
      </c>
      <c r="G7" s="40">
        <v>37.5</v>
      </c>
      <c r="H7" s="47">
        <f t="shared" ref="H7:H16" si="9">B7/(((0.5*1.225*0.5*3.14*(C7/2)^2)*(E7^3))/1000000)</f>
        <v>0.79259958850194923</v>
      </c>
      <c r="I7" s="42">
        <f t="shared" si="0"/>
        <v>6</v>
      </c>
      <c r="J7" s="40">
        <v>6</v>
      </c>
      <c r="K7" s="49">
        <f t="shared" si="1"/>
        <v>1.1537286723900002</v>
      </c>
      <c r="L7" s="49">
        <f t="shared" si="2"/>
        <v>1.1995512768225001</v>
      </c>
      <c r="M7" s="49">
        <f t="shared" si="3"/>
        <v>0.44719347456000008</v>
      </c>
      <c r="N7" s="49">
        <f t="shared" si="4"/>
        <v>1.4217817950000002</v>
      </c>
      <c r="O7" s="49">
        <f t="shared" si="5"/>
        <v>1.1022599637000001</v>
      </c>
      <c r="P7" s="49">
        <f t="shared" si="6"/>
        <v>1.5913570554000003</v>
      </c>
      <c r="Q7" s="49">
        <f t="shared" si="7"/>
        <v>1.5498813229199999</v>
      </c>
      <c r="R7" s="49">
        <f t="shared" si="8"/>
        <v>1.3952861798399998</v>
      </c>
    </row>
    <row r="8" spans="1:18" ht="31.5" x14ac:dyDescent="0.25">
      <c r="A8" s="40" t="s">
        <v>61</v>
      </c>
      <c r="B8" s="40">
        <v>3.6</v>
      </c>
      <c r="C8" s="40">
        <v>116</v>
      </c>
      <c r="D8" s="40">
        <v>3.5</v>
      </c>
      <c r="E8" s="40">
        <v>12</v>
      </c>
      <c r="F8" s="40">
        <v>25</v>
      </c>
      <c r="G8" s="40">
        <v>59.5</v>
      </c>
      <c r="H8" s="47">
        <f t="shared" si="9"/>
        <v>0.64401655297713656</v>
      </c>
      <c r="I8" s="42">
        <f t="shared" si="0"/>
        <v>7</v>
      </c>
      <c r="J8" s="40">
        <v>7</v>
      </c>
      <c r="K8" s="49">
        <f t="shared" si="1"/>
        <v>1.8320784010637505</v>
      </c>
      <c r="L8" s="49">
        <f t="shared" si="2"/>
        <v>1.904842999769063</v>
      </c>
      <c r="M8" s="49">
        <f t="shared" si="3"/>
        <v>0.71012667488000003</v>
      </c>
      <c r="N8" s="49">
        <f t="shared" si="4"/>
        <v>2.257736831875</v>
      </c>
      <c r="O8" s="49">
        <f t="shared" si="5"/>
        <v>1.7503479979125003</v>
      </c>
      <c r="P8" s="49">
        <f t="shared" si="6"/>
        <v>2.5270160648250002</v>
      </c>
      <c r="Q8" s="49">
        <f t="shared" si="7"/>
        <v>2.4611541377849999</v>
      </c>
      <c r="R8" s="49">
        <f t="shared" si="8"/>
        <v>2.2156627763199999</v>
      </c>
    </row>
    <row r="9" spans="1:18" ht="31.5" x14ac:dyDescent="0.25">
      <c r="A9" s="40" t="s">
        <v>63</v>
      </c>
      <c r="B9" s="40">
        <v>10</v>
      </c>
      <c r="C9" s="40">
        <v>185</v>
      </c>
      <c r="D9" s="40">
        <v>4</v>
      </c>
      <c r="E9" s="40">
        <v>11.5</v>
      </c>
      <c r="F9" s="40">
        <v>30</v>
      </c>
      <c r="G9" s="40">
        <v>77</v>
      </c>
      <c r="H9" s="47">
        <f>B9/(((0.5*1.225*0.5*3.14*(C9/2)^2)*(E9^3))/1000000)</f>
        <v>0.7991296932047689</v>
      </c>
      <c r="I9" s="42">
        <f t="shared" si="0"/>
        <v>8</v>
      </c>
      <c r="J9" s="40">
        <v>8</v>
      </c>
      <c r="K9" s="49">
        <f t="shared" si="1"/>
        <v>2.7347642604800004</v>
      </c>
      <c r="L9" s="49">
        <f t="shared" si="2"/>
        <v>2.8433808043200006</v>
      </c>
      <c r="M9" s="49">
        <f t="shared" si="3"/>
        <v>1.0600141619200001</v>
      </c>
      <c r="N9" s="49">
        <f t="shared" si="4"/>
        <v>3.3701494400000005</v>
      </c>
      <c r="O9" s="49">
        <f t="shared" si="5"/>
        <v>2.6127643584000002</v>
      </c>
      <c r="P9" s="49">
        <f t="shared" si="6"/>
        <v>3.7721056128000003</v>
      </c>
      <c r="Q9" s="49">
        <f t="shared" si="7"/>
        <v>3.6737927654399996</v>
      </c>
      <c r="R9" s="49">
        <f t="shared" si="8"/>
        <v>3.30734501888</v>
      </c>
    </row>
    <row r="10" spans="1:18" ht="31.5" x14ac:dyDescent="0.25">
      <c r="A10" s="40" t="s">
        <v>179</v>
      </c>
      <c r="B10" s="40">
        <v>14</v>
      </c>
      <c r="C10" s="40">
        <v>266</v>
      </c>
      <c r="D10" s="40">
        <v>3</v>
      </c>
      <c r="E10" s="40">
        <v>14</v>
      </c>
      <c r="F10" s="40">
        <v>30</v>
      </c>
      <c r="G10" s="40" t="s">
        <v>180</v>
      </c>
      <c r="H10" s="47">
        <f t="shared" si="9"/>
        <v>0.29994035507574807</v>
      </c>
      <c r="I10" s="42">
        <f t="shared" si="0"/>
        <v>9</v>
      </c>
      <c r="J10" s="40">
        <v>9</v>
      </c>
      <c r="K10" s="49">
        <f t="shared" si="1"/>
        <v>3.8938342693162511</v>
      </c>
      <c r="L10" s="49">
        <f t="shared" si="2"/>
        <v>4.0484855592759379</v>
      </c>
      <c r="M10" s="49">
        <f t="shared" si="3"/>
        <v>1.5092779766400002</v>
      </c>
      <c r="N10" s="49">
        <f t="shared" si="4"/>
        <v>4.7985135581250002</v>
      </c>
      <c r="O10" s="49">
        <f t="shared" si="5"/>
        <v>3.7201273774875001</v>
      </c>
      <c r="P10" s="49">
        <f t="shared" si="6"/>
        <v>5.370830061975</v>
      </c>
      <c r="Q10" s="49">
        <f t="shared" si="7"/>
        <v>5.230849464854999</v>
      </c>
      <c r="R10" s="49">
        <f t="shared" si="8"/>
        <v>4.7090908569599996</v>
      </c>
    </row>
    <row r="11" spans="1:18" ht="31.5" x14ac:dyDescent="0.25">
      <c r="A11" s="40" t="s">
        <v>181</v>
      </c>
      <c r="B11" s="40">
        <v>12</v>
      </c>
      <c r="C11" s="40">
        <v>252</v>
      </c>
      <c r="D11" s="40">
        <v>3</v>
      </c>
      <c r="E11" s="40">
        <v>14.5</v>
      </c>
      <c r="F11" s="40">
        <v>30</v>
      </c>
      <c r="G11" s="40" t="s">
        <v>180</v>
      </c>
      <c r="H11" s="47">
        <f t="shared" si="9"/>
        <v>0.25782819229360693</v>
      </c>
      <c r="I11" s="42">
        <f t="shared" si="0"/>
        <v>10</v>
      </c>
      <c r="J11" s="40">
        <v>10</v>
      </c>
      <c r="K11" s="49">
        <f t="shared" si="1"/>
        <v>5.3413364462500006</v>
      </c>
      <c r="L11" s="49">
        <f t="shared" si="2"/>
        <v>5.5534781334375012</v>
      </c>
      <c r="M11" s="49">
        <f t="shared" si="3"/>
        <v>2.0703401600000002</v>
      </c>
      <c r="N11" s="49">
        <f t="shared" si="4"/>
        <v>6.5823231250000012</v>
      </c>
      <c r="O11" s="49">
        <f t="shared" si="5"/>
        <v>5.1030553875000004</v>
      </c>
      <c r="P11" s="49">
        <f t="shared" si="6"/>
        <v>7.367393775</v>
      </c>
      <c r="Q11" s="49">
        <f t="shared" si="7"/>
        <v>7.1753764949999992</v>
      </c>
      <c r="R11" s="49">
        <f t="shared" si="8"/>
        <v>6.4596582399999996</v>
      </c>
    </row>
    <row r="12" spans="1:18" ht="31.5" x14ac:dyDescent="0.25">
      <c r="A12" s="40" t="s">
        <v>182</v>
      </c>
      <c r="B12" s="40">
        <v>8.5</v>
      </c>
      <c r="C12" s="40">
        <v>226</v>
      </c>
      <c r="D12" s="40">
        <v>3</v>
      </c>
      <c r="E12" s="40">
        <v>10.5</v>
      </c>
      <c r="F12" s="40">
        <v>25</v>
      </c>
      <c r="G12" s="40">
        <v>79.8</v>
      </c>
      <c r="H12" s="47">
        <f t="shared" si="9"/>
        <v>0.59798239201766135</v>
      </c>
      <c r="I12" s="42">
        <f t="shared" si="0"/>
        <v>11</v>
      </c>
      <c r="J12" s="40">
        <v>11</v>
      </c>
      <c r="K12" s="49">
        <v>5.5</v>
      </c>
      <c r="L12" s="51">
        <v>6.45</v>
      </c>
      <c r="M12" s="49">
        <f>0.5*1.225*0.64*0.5*3.14*(116/2)^2*J12^3/1000000</f>
        <v>2.7556227529600004</v>
      </c>
      <c r="N12" s="49">
        <f>0.5*1.225*0.8*0.5*3.14*(185/2)^2*J12^3/1000000</f>
        <v>8.7610720793750012</v>
      </c>
      <c r="O12" s="49">
        <f>0.5*1.225*0.3*0.5*3.14*(266/2)^2*J12^3/1000000</f>
        <v>6.7921667207625003</v>
      </c>
      <c r="P12" s="49">
        <v>8.5</v>
      </c>
      <c r="Q12" s="49">
        <f>0.5*1.225*0.47*0.5*3.14*(252/2)^2*J12^3/1000000</f>
        <v>9.5504261148450009</v>
      </c>
      <c r="R12" s="49">
        <f>0.5*1.225*0.41*0.5*3.14*(256/2)^2*J12^3/1000000</f>
        <v>8.5978051174400001</v>
      </c>
    </row>
    <row r="13" spans="1:18" ht="31.5" x14ac:dyDescent="0.25">
      <c r="A13" s="40" t="s">
        <v>183</v>
      </c>
      <c r="B13" s="40">
        <v>10.5</v>
      </c>
      <c r="C13" s="40">
        <v>252</v>
      </c>
      <c r="D13" s="40">
        <v>3</v>
      </c>
      <c r="E13" s="40">
        <v>10.5</v>
      </c>
      <c r="F13" s="40">
        <v>25</v>
      </c>
      <c r="G13" s="40">
        <v>79.8</v>
      </c>
      <c r="H13" s="47">
        <f t="shared" si="9"/>
        <v>0.59412053872342963</v>
      </c>
      <c r="I13" s="42">
        <f t="shared" si="0"/>
        <v>12</v>
      </c>
      <c r="J13" s="40">
        <v>12</v>
      </c>
      <c r="K13" s="49">
        <v>5.5</v>
      </c>
      <c r="L13" s="51">
        <v>6.45</v>
      </c>
      <c r="M13" s="50">
        <v>3.6</v>
      </c>
      <c r="N13" s="49">
        <v>10</v>
      </c>
      <c r="O13" s="49">
        <f>0.5*1.225*0.3*0.5*3.14*(266/2)^2*J13^3/1000000</f>
        <v>8.818079709600001</v>
      </c>
      <c r="P13" s="49">
        <v>8.5</v>
      </c>
      <c r="Q13" s="49">
        <f>0.5*1.225*0.47*0.5*3.14*(252/2)^2*J13^3/1000000</f>
        <v>12.399050583359999</v>
      </c>
      <c r="R13" s="49">
        <f>0.5*1.225*0.41*0.5*3.14*(256/2)^2*J13^3/1000000</f>
        <v>11.162289438719998</v>
      </c>
    </row>
    <row r="14" spans="1:18" ht="31.5" x14ac:dyDescent="0.25">
      <c r="A14" s="40" t="s">
        <v>184</v>
      </c>
      <c r="B14" s="40">
        <v>11.5</v>
      </c>
      <c r="C14" s="40">
        <v>252</v>
      </c>
      <c r="D14" s="40">
        <v>3</v>
      </c>
      <c r="E14" s="40">
        <v>11</v>
      </c>
      <c r="F14" s="40">
        <v>25</v>
      </c>
      <c r="G14" s="40">
        <v>79.8</v>
      </c>
      <c r="H14" s="47">
        <f t="shared" si="9"/>
        <v>0.56594333436060729</v>
      </c>
      <c r="I14" s="42">
        <f t="shared" si="0"/>
        <v>13</v>
      </c>
      <c r="J14" s="40">
        <v>13</v>
      </c>
      <c r="K14" s="49">
        <v>5.5</v>
      </c>
      <c r="L14" s="51">
        <v>6.45</v>
      </c>
      <c r="M14" s="49">
        <v>3.6</v>
      </c>
      <c r="N14" s="49">
        <v>10</v>
      </c>
      <c r="O14" s="49">
        <f>0.5*1.225*0.3*0.5*3.14*(266/2)^2*J14^3/1000000</f>
        <v>11.211412686337502</v>
      </c>
      <c r="P14" s="49">
        <v>8.5</v>
      </c>
      <c r="Q14" s="49">
        <v>14</v>
      </c>
      <c r="R14" s="49">
        <f>0.5*1.225*0.41*0.5*3.14*(256/2)^2*J14^3/1000000</f>
        <v>14.191869153279999</v>
      </c>
    </row>
    <row r="15" spans="1:18" ht="31.5" x14ac:dyDescent="0.25">
      <c r="A15" s="40" t="s">
        <v>185</v>
      </c>
      <c r="B15" s="40">
        <v>14</v>
      </c>
      <c r="C15" s="40">
        <v>252</v>
      </c>
      <c r="D15" s="40">
        <v>3</v>
      </c>
      <c r="E15" s="40">
        <v>12.5</v>
      </c>
      <c r="F15" s="40">
        <v>25</v>
      </c>
      <c r="G15" s="40">
        <v>79.8</v>
      </c>
      <c r="H15" s="47">
        <f t="shared" si="9"/>
        <v>0.46951682637804215</v>
      </c>
      <c r="I15" s="42">
        <f t="shared" si="0"/>
        <v>14</v>
      </c>
      <c r="J15" s="40">
        <v>14</v>
      </c>
      <c r="K15" s="49">
        <v>5.5</v>
      </c>
      <c r="L15" s="51">
        <v>6.45</v>
      </c>
      <c r="M15" s="49">
        <v>3.6</v>
      </c>
      <c r="N15" s="49">
        <v>10</v>
      </c>
      <c r="O15" s="50">
        <f>0.5*1.225*0.3*0.5*3.14*(266/2)^2*J15^3/1000000</f>
        <v>14.002783983300002</v>
      </c>
      <c r="P15" s="49">
        <v>8.5</v>
      </c>
      <c r="Q15" s="49">
        <v>14</v>
      </c>
      <c r="R15" s="49">
        <v>16</v>
      </c>
    </row>
    <row r="16" spans="1:18" ht="32.25" thickBot="1" x14ac:dyDescent="0.3">
      <c r="A16" s="44" t="s">
        <v>186</v>
      </c>
      <c r="B16" s="44">
        <v>16</v>
      </c>
      <c r="C16" s="44">
        <v>256</v>
      </c>
      <c r="D16" s="44">
        <v>3</v>
      </c>
      <c r="E16" s="44">
        <v>13.5</v>
      </c>
      <c r="F16" s="44">
        <v>25</v>
      </c>
      <c r="G16" s="44">
        <v>79.8</v>
      </c>
      <c r="H16" s="47">
        <f t="shared" si="9"/>
        <v>0.41275561732492894</v>
      </c>
      <c r="I16" s="42">
        <f t="shared" si="0"/>
        <v>15</v>
      </c>
      <c r="J16" s="40">
        <v>15</v>
      </c>
      <c r="K16" s="49">
        <v>5.5</v>
      </c>
      <c r="L16" s="51">
        <v>6.45</v>
      </c>
      <c r="M16" s="49">
        <v>3.6</v>
      </c>
      <c r="N16" s="49">
        <v>10</v>
      </c>
      <c r="O16" s="49">
        <v>14</v>
      </c>
      <c r="P16" s="49">
        <v>8.5</v>
      </c>
      <c r="Q16" s="49">
        <v>14</v>
      </c>
      <c r="R16" s="49">
        <v>16</v>
      </c>
    </row>
    <row r="17" spans="1:18" ht="16.5" thickTop="1" x14ac:dyDescent="0.25">
      <c r="A17" s="42"/>
      <c r="B17" s="42"/>
      <c r="C17" s="42"/>
      <c r="D17" s="42"/>
      <c r="E17" s="42"/>
      <c r="F17" s="42"/>
      <c r="G17" s="42"/>
      <c r="H17" s="42"/>
      <c r="I17" s="42">
        <f t="shared" si="0"/>
        <v>16</v>
      </c>
      <c r="J17" s="40">
        <v>16</v>
      </c>
      <c r="K17" s="49">
        <v>5.5</v>
      </c>
      <c r="L17" s="51">
        <v>6.45</v>
      </c>
      <c r="M17" s="49">
        <v>3.6</v>
      </c>
      <c r="N17" s="49">
        <v>10</v>
      </c>
      <c r="O17" s="49">
        <v>14</v>
      </c>
      <c r="P17" s="49">
        <v>8.5</v>
      </c>
      <c r="Q17" s="49">
        <v>14</v>
      </c>
      <c r="R17" s="49">
        <v>16</v>
      </c>
    </row>
    <row r="18" spans="1:18" ht="15.75" x14ac:dyDescent="0.25">
      <c r="A18" s="42"/>
      <c r="B18" s="42"/>
      <c r="C18" s="42"/>
      <c r="D18" s="42"/>
      <c r="E18" s="42"/>
      <c r="F18" s="42"/>
      <c r="G18" s="42"/>
      <c r="H18" s="42"/>
      <c r="I18" s="42">
        <f t="shared" si="0"/>
        <v>17</v>
      </c>
      <c r="J18" s="40">
        <v>17</v>
      </c>
      <c r="K18" s="49">
        <v>5.5</v>
      </c>
      <c r="L18" s="51">
        <v>6.45</v>
      </c>
      <c r="M18" s="49">
        <v>3.6</v>
      </c>
      <c r="N18" s="49">
        <v>10</v>
      </c>
      <c r="O18" s="49">
        <v>14</v>
      </c>
      <c r="P18" s="49">
        <v>8.5</v>
      </c>
      <c r="Q18" s="49">
        <v>14</v>
      </c>
      <c r="R18" s="49">
        <v>16</v>
      </c>
    </row>
    <row r="19" spans="1:18" ht="15.75" x14ac:dyDescent="0.25">
      <c r="A19" s="40"/>
      <c r="B19" s="40"/>
      <c r="C19" s="40"/>
      <c r="D19" s="40"/>
      <c r="E19" s="40"/>
      <c r="F19" s="40"/>
      <c r="G19" s="40"/>
      <c r="H19" s="42"/>
      <c r="I19" s="42">
        <f t="shared" si="0"/>
        <v>18</v>
      </c>
      <c r="J19" s="40">
        <v>18</v>
      </c>
      <c r="K19" s="49">
        <v>5.5</v>
      </c>
      <c r="L19" s="51">
        <v>6.45</v>
      </c>
      <c r="M19" s="49">
        <v>3.6</v>
      </c>
      <c r="N19" s="49">
        <v>10</v>
      </c>
      <c r="O19" s="49">
        <v>14</v>
      </c>
      <c r="P19" s="49">
        <v>8.5</v>
      </c>
      <c r="Q19" s="49">
        <v>14</v>
      </c>
      <c r="R19" s="49">
        <v>16</v>
      </c>
    </row>
    <row r="20" spans="1:18" ht="15.75" x14ac:dyDescent="0.25">
      <c r="A20" s="40"/>
      <c r="B20" s="40"/>
      <c r="C20" s="40"/>
      <c r="D20" s="40"/>
      <c r="E20" s="40"/>
      <c r="F20" s="40"/>
      <c r="G20" s="40"/>
      <c r="H20" s="42"/>
      <c r="I20" s="42">
        <f t="shared" si="0"/>
        <v>19</v>
      </c>
      <c r="J20" s="40">
        <v>19</v>
      </c>
      <c r="K20" s="49">
        <v>5.5</v>
      </c>
      <c r="L20" s="51">
        <v>6.45</v>
      </c>
      <c r="M20" s="49">
        <v>3.6</v>
      </c>
      <c r="N20" s="49">
        <v>10</v>
      </c>
      <c r="O20" s="49">
        <v>14</v>
      </c>
      <c r="P20" s="49">
        <v>8.5</v>
      </c>
      <c r="Q20" s="49">
        <v>14</v>
      </c>
      <c r="R20" s="49">
        <v>16</v>
      </c>
    </row>
    <row r="21" spans="1:18" ht="15.75" x14ac:dyDescent="0.25">
      <c r="A21" s="42"/>
      <c r="B21" s="42"/>
      <c r="C21" s="42"/>
      <c r="D21" s="42"/>
      <c r="E21" s="42"/>
      <c r="F21" s="42"/>
      <c r="G21" s="42"/>
      <c r="H21" s="42"/>
      <c r="I21" s="42">
        <f t="shared" si="0"/>
        <v>20</v>
      </c>
      <c r="J21" s="40">
        <v>20</v>
      </c>
      <c r="K21" s="49">
        <v>5.5</v>
      </c>
      <c r="L21" s="51">
        <v>6.45</v>
      </c>
      <c r="M21" s="49">
        <v>3.6</v>
      </c>
      <c r="N21" s="49">
        <v>10</v>
      </c>
      <c r="O21" s="49">
        <v>14</v>
      </c>
      <c r="P21" s="49">
        <v>8.5</v>
      </c>
      <c r="Q21" s="49">
        <v>14</v>
      </c>
      <c r="R21" s="49">
        <v>16</v>
      </c>
    </row>
    <row r="22" spans="1:18" ht="15.75" x14ac:dyDescent="0.25">
      <c r="A22" s="42"/>
      <c r="B22" s="42"/>
      <c r="C22" s="42"/>
      <c r="D22" s="42"/>
      <c r="E22" s="42"/>
      <c r="F22" s="42"/>
      <c r="G22" s="42"/>
      <c r="H22" s="42"/>
      <c r="I22" s="42">
        <f t="shared" si="0"/>
        <v>21</v>
      </c>
      <c r="J22" s="40">
        <v>21</v>
      </c>
      <c r="K22" s="49">
        <v>5.5</v>
      </c>
      <c r="L22" s="51">
        <v>6.45</v>
      </c>
      <c r="M22" s="49">
        <v>3.6</v>
      </c>
      <c r="N22" s="49">
        <v>10</v>
      </c>
      <c r="O22" s="49">
        <v>14</v>
      </c>
      <c r="P22" s="49">
        <v>8.5</v>
      </c>
      <c r="Q22" s="49">
        <v>14</v>
      </c>
      <c r="R22" s="49">
        <v>16</v>
      </c>
    </row>
    <row r="23" spans="1:18" ht="15.75" x14ac:dyDescent="0.25">
      <c r="A23" s="42"/>
      <c r="B23" s="42"/>
      <c r="C23" s="42"/>
      <c r="D23" s="42"/>
      <c r="E23" s="42"/>
      <c r="F23" s="42"/>
      <c r="G23" s="42"/>
      <c r="H23" s="42"/>
      <c r="I23" s="42">
        <f t="shared" si="0"/>
        <v>22</v>
      </c>
      <c r="J23" s="40">
        <v>22</v>
      </c>
      <c r="K23" s="49">
        <v>5.5</v>
      </c>
      <c r="L23" s="51">
        <v>6.45</v>
      </c>
      <c r="M23" s="49">
        <v>3.6</v>
      </c>
      <c r="N23" s="49">
        <v>10</v>
      </c>
      <c r="O23" s="49">
        <v>14</v>
      </c>
      <c r="P23" s="49">
        <v>8.5</v>
      </c>
      <c r="Q23" s="49">
        <v>14</v>
      </c>
      <c r="R23" s="49">
        <v>16</v>
      </c>
    </row>
    <row r="24" spans="1:18" ht="15.75" x14ac:dyDescent="0.25">
      <c r="A24" s="42"/>
      <c r="B24" s="42"/>
      <c r="C24" s="42"/>
      <c r="D24" s="42"/>
      <c r="E24" s="42"/>
      <c r="F24" s="42"/>
      <c r="G24" s="42"/>
      <c r="H24" s="42"/>
      <c r="I24" s="42">
        <f t="shared" si="0"/>
        <v>23</v>
      </c>
      <c r="J24" s="40">
        <v>23</v>
      </c>
      <c r="K24" s="49">
        <v>5.5</v>
      </c>
      <c r="L24" s="51">
        <v>6.45</v>
      </c>
      <c r="M24" s="49">
        <v>3.6</v>
      </c>
      <c r="N24" s="49">
        <v>10</v>
      </c>
      <c r="O24" s="49">
        <v>14</v>
      </c>
      <c r="P24" s="49">
        <v>8.5</v>
      </c>
      <c r="Q24" s="49">
        <v>14</v>
      </c>
      <c r="R24" s="49">
        <v>16</v>
      </c>
    </row>
    <row r="25" spans="1:18" ht="15.75" x14ac:dyDescent="0.25">
      <c r="A25" s="42"/>
      <c r="B25" s="42"/>
      <c r="C25" s="42"/>
      <c r="D25" s="42"/>
      <c r="E25" s="42"/>
      <c r="F25" s="42"/>
      <c r="G25" s="42"/>
      <c r="H25" s="42"/>
      <c r="I25" s="42">
        <f t="shared" si="0"/>
        <v>24</v>
      </c>
      <c r="J25" s="40">
        <v>24</v>
      </c>
      <c r="K25" s="49">
        <v>5.5</v>
      </c>
      <c r="L25" s="51">
        <v>6.45</v>
      </c>
      <c r="M25" s="49">
        <v>3.6</v>
      </c>
      <c r="N25" s="49">
        <v>10</v>
      </c>
      <c r="O25" s="49">
        <v>14</v>
      </c>
      <c r="P25" s="49">
        <v>8.5</v>
      </c>
      <c r="Q25" s="49">
        <v>14</v>
      </c>
      <c r="R25" s="49">
        <v>16</v>
      </c>
    </row>
    <row r="26" spans="1:18" ht="15.75" x14ac:dyDescent="0.25">
      <c r="A26" s="42"/>
      <c r="B26" s="42"/>
      <c r="C26" s="42"/>
      <c r="D26" s="42"/>
      <c r="E26" s="42"/>
      <c r="F26" s="42"/>
      <c r="G26" s="42"/>
      <c r="H26" s="42"/>
      <c r="I26" s="42">
        <f t="shared" si="0"/>
        <v>25</v>
      </c>
      <c r="J26" s="40">
        <v>25</v>
      </c>
      <c r="K26" s="49">
        <v>5.5</v>
      </c>
      <c r="L26" s="52">
        <v>6.45</v>
      </c>
      <c r="M26" s="50">
        <v>3.6</v>
      </c>
      <c r="N26" s="49">
        <v>10</v>
      </c>
      <c r="O26" s="49">
        <v>14</v>
      </c>
      <c r="P26" s="50">
        <v>8.5</v>
      </c>
      <c r="Q26" s="49">
        <v>14</v>
      </c>
      <c r="R26" s="49">
        <v>16</v>
      </c>
    </row>
    <row r="27" spans="1:18" ht="15.75" x14ac:dyDescent="0.25">
      <c r="A27" s="42"/>
      <c r="B27" s="42"/>
      <c r="C27" s="42"/>
      <c r="D27" s="42"/>
      <c r="E27" s="42"/>
      <c r="F27" s="42"/>
      <c r="G27" s="42"/>
      <c r="H27" s="42"/>
      <c r="I27" s="42">
        <f t="shared" si="0"/>
        <v>26</v>
      </c>
      <c r="J27" s="40">
        <v>26</v>
      </c>
      <c r="K27" s="49">
        <v>5.5</v>
      </c>
      <c r="L27" s="51">
        <v>0</v>
      </c>
      <c r="M27" s="49">
        <v>0</v>
      </c>
      <c r="N27" s="49">
        <v>10</v>
      </c>
      <c r="O27" s="49">
        <v>14</v>
      </c>
      <c r="P27" s="49">
        <v>0</v>
      </c>
      <c r="Q27" s="49">
        <v>0</v>
      </c>
      <c r="R27" s="49">
        <v>0</v>
      </c>
    </row>
    <row r="28" spans="1:18" ht="15.75" x14ac:dyDescent="0.25">
      <c r="A28" s="42"/>
      <c r="B28" s="42"/>
      <c r="C28" s="42"/>
      <c r="D28" s="42"/>
      <c r="E28" s="42"/>
      <c r="F28" s="42"/>
      <c r="G28" s="42"/>
      <c r="H28" s="42"/>
      <c r="I28" s="42">
        <f t="shared" si="0"/>
        <v>27</v>
      </c>
      <c r="J28" s="40">
        <v>27</v>
      </c>
      <c r="K28" s="49">
        <v>5.5</v>
      </c>
      <c r="L28" s="51">
        <v>0</v>
      </c>
      <c r="M28" s="49">
        <v>0</v>
      </c>
      <c r="N28" s="49">
        <v>10</v>
      </c>
      <c r="O28" s="49">
        <v>14</v>
      </c>
      <c r="P28" s="49">
        <v>0</v>
      </c>
      <c r="Q28" s="49">
        <v>0</v>
      </c>
      <c r="R28" s="49">
        <v>0</v>
      </c>
    </row>
    <row r="29" spans="1:18" ht="15.75" x14ac:dyDescent="0.25">
      <c r="A29" s="42"/>
      <c r="B29" s="42"/>
      <c r="C29" s="42"/>
      <c r="D29" s="42"/>
      <c r="E29" s="42"/>
      <c r="F29" s="42"/>
      <c r="G29" s="42"/>
      <c r="H29" s="42"/>
      <c r="I29" s="42">
        <f t="shared" si="0"/>
        <v>28</v>
      </c>
      <c r="J29" s="40">
        <v>28</v>
      </c>
      <c r="K29" s="49">
        <v>5.5</v>
      </c>
      <c r="L29" s="51">
        <v>0</v>
      </c>
      <c r="M29" s="49">
        <v>0</v>
      </c>
      <c r="N29" s="49">
        <v>10</v>
      </c>
      <c r="O29" s="49">
        <v>14</v>
      </c>
      <c r="P29" s="49">
        <v>0</v>
      </c>
      <c r="Q29" s="49">
        <v>0</v>
      </c>
      <c r="R29" s="49">
        <v>0</v>
      </c>
    </row>
    <row r="30" spans="1:18" ht="15.75" x14ac:dyDescent="0.25">
      <c r="A30" s="42"/>
      <c r="B30" s="42"/>
      <c r="C30" s="42"/>
      <c r="D30" s="42"/>
      <c r="E30" s="42"/>
      <c r="F30" s="42"/>
      <c r="G30" s="42"/>
      <c r="H30" s="42"/>
      <c r="I30" s="42">
        <f t="shared" si="0"/>
        <v>29</v>
      </c>
      <c r="J30" s="40">
        <v>29</v>
      </c>
      <c r="K30" s="49">
        <v>5.5</v>
      </c>
      <c r="L30" s="51">
        <v>0</v>
      </c>
      <c r="M30" s="49">
        <v>0</v>
      </c>
      <c r="N30" s="49">
        <v>10</v>
      </c>
      <c r="O30" s="49">
        <v>14</v>
      </c>
      <c r="P30" s="49">
        <v>0</v>
      </c>
      <c r="Q30" s="49">
        <v>0</v>
      </c>
      <c r="R30" s="49">
        <v>0</v>
      </c>
    </row>
    <row r="31" spans="1:18" ht="15.75" x14ac:dyDescent="0.25">
      <c r="A31" s="42"/>
      <c r="B31" s="42"/>
      <c r="C31" s="42"/>
      <c r="D31" s="42"/>
      <c r="E31" s="42"/>
      <c r="F31" s="42"/>
      <c r="G31" s="42"/>
      <c r="H31" s="42"/>
      <c r="I31" s="42">
        <f t="shared" si="0"/>
        <v>30</v>
      </c>
      <c r="J31" s="40">
        <v>30</v>
      </c>
      <c r="K31" s="50">
        <v>5.5</v>
      </c>
      <c r="L31" s="51">
        <v>0</v>
      </c>
      <c r="M31" s="49">
        <v>0</v>
      </c>
      <c r="N31" s="49">
        <v>10</v>
      </c>
      <c r="O31" s="50">
        <v>14</v>
      </c>
      <c r="P31" s="49">
        <v>0</v>
      </c>
      <c r="Q31" s="49">
        <v>0</v>
      </c>
      <c r="R31" s="49">
        <v>0</v>
      </c>
    </row>
    <row r="32" spans="1:18" ht="15.75" x14ac:dyDescent="0.25">
      <c r="A32" s="42"/>
      <c r="B32" s="42"/>
      <c r="C32" s="42"/>
      <c r="D32" s="42"/>
      <c r="E32" s="42"/>
      <c r="F32" s="42"/>
      <c r="G32" s="42"/>
      <c r="H32" s="42"/>
      <c r="I32" s="42">
        <f t="shared" si="0"/>
        <v>31</v>
      </c>
      <c r="J32" s="40">
        <v>31</v>
      </c>
      <c r="K32" s="49">
        <v>0</v>
      </c>
      <c r="L32" s="49">
        <v>0</v>
      </c>
      <c r="M32" s="45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</row>
    <row r="33" spans="1:18" ht="15.75" x14ac:dyDescent="0.25">
      <c r="A33" s="42"/>
      <c r="B33" s="42"/>
      <c r="C33" s="42"/>
      <c r="D33" s="42"/>
      <c r="E33" s="42"/>
      <c r="F33" s="42"/>
      <c r="G33" s="42"/>
      <c r="H33" s="42"/>
      <c r="I33" s="42">
        <f t="shared" si="0"/>
        <v>32</v>
      </c>
      <c r="J33" s="40">
        <v>32</v>
      </c>
      <c r="K33" s="42">
        <v>0</v>
      </c>
      <c r="L33" s="49">
        <v>0</v>
      </c>
      <c r="M33" s="45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</row>
    <row r="34" spans="1:18" ht="15.75" x14ac:dyDescent="0.25">
      <c r="A34" s="42"/>
      <c r="B34" s="42"/>
      <c r="C34" s="42"/>
      <c r="D34" s="42"/>
      <c r="E34" s="42"/>
      <c r="F34" s="42"/>
      <c r="G34" s="42"/>
      <c r="H34" s="42"/>
      <c r="I34" s="42">
        <f t="shared" si="0"/>
        <v>33</v>
      </c>
      <c r="J34" s="40">
        <v>33</v>
      </c>
      <c r="K34" s="42">
        <v>0</v>
      </c>
      <c r="L34" s="49">
        <v>0</v>
      </c>
      <c r="M34" s="45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</row>
    <row r="35" spans="1:18" ht="15.75" x14ac:dyDescent="0.25">
      <c r="A35" s="42"/>
      <c r="B35" s="42"/>
      <c r="C35" s="42"/>
      <c r="D35" s="42"/>
      <c r="E35" s="42"/>
      <c r="F35" s="42"/>
      <c r="G35" s="42"/>
      <c r="H35" s="42"/>
      <c r="I35" s="42">
        <f t="shared" si="0"/>
        <v>34</v>
      </c>
      <c r="J35" s="40">
        <v>34</v>
      </c>
      <c r="K35" s="42">
        <v>0</v>
      </c>
      <c r="L35" s="49">
        <v>0</v>
      </c>
      <c r="M35" s="45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</row>
    <row r="36" spans="1:18" ht="15.75" x14ac:dyDescent="0.25">
      <c r="A36" s="42"/>
      <c r="B36" s="42"/>
      <c r="C36" s="42"/>
      <c r="D36" s="42"/>
      <c r="E36" s="42"/>
      <c r="F36" s="42"/>
      <c r="G36" s="42"/>
      <c r="H36" s="42"/>
      <c r="I36" s="42">
        <f t="shared" si="0"/>
        <v>35</v>
      </c>
      <c r="J36" s="40">
        <v>35</v>
      </c>
      <c r="K36" s="42">
        <v>0</v>
      </c>
      <c r="L36" s="49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</row>
    <row r="37" spans="1:18" ht="15.75" x14ac:dyDescent="0.25">
      <c r="A37" s="42"/>
      <c r="B37" s="42"/>
      <c r="C37" s="42"/>
      <c r="D37" s="42"/>
      <c r="E37" s="42"/>
      <c r="F37" s="42"/>
      <c r="G37" s="42"/>
      <c r="H37" s="42"/>
    </row>
    <row r="38" spans="1:18" ht="15.75" x14ac:dyDescent="0.25">
      <c r="A38" s="42"/>
      <c r="B38" s="42"/>
      <c r="C38" s="42"/>
      <c r="D38" s="42"/>
      <c r="E38" s="42"/>
      <c r="F38" s="42"/>
      <c r="G38" s="42"/>
      <c r="H38" s="42"/>
      <c r="I38" s="42"/>
    </row>
    <row r="39" spans="1:18" ht="15.75" x14ac:dyDescent="0.25">
      <c r="A39" s="42"/>
      <c r="B39" s="42"/>
      <c r="C39" s="42"/>
      <c r="D39" s="42"/>
      <c r="E39" s="42"/>
      <c r="F39" s="42"/>
      <c r="G39" s="42"/>
      <c r="H39" s="42"/>
      <c r="I39" s="42"/>
    </row>
    <row r="40" spans="1:18" ht="15.75" x14ac:dyDescent="0.25">
      <c r="A40" s="42"/>
      <c r="B40" s="42"/>
      <c r="C40" s="42"/>
      <c r="D40" s="42"/>
      <c r="E40" s="42"/>
      <c r="F40" s="42"/>
      <c r="G40" s="42"/>
      <c r="H40" s="42"/>
      <c r="I40" s="42"/>
    </row>
    <row r="41" spans="1:18" ht="15.75" x14ac:dyDescent="0.25">
      <c r="A41" s="42"/>
      <c r="B41" s="42"/>
      <c r="C41" s="42"/>
      <c r="D41" s="42"/>
      <c r="E41" s="42"/>
      <c r="F41" s="42"/>
      <c r="G41" s="42"/>
      <c r="H41" s="42"/>
      <c r="I41" s="42"/>
    </row>
    <row r="42" spans="1:18" ht="15.75" x14ac:dyDescent="0.25">
      <c r="A42" s="42"/>
      <c r="B42" s="42"/>
      <c r="C42" s="42"/>
      <c r="D42" s="42"/>
      <c r="E42" s="42"/>
      <c r="F42" s="42"/>
      <c r="G42" s="42"/>
      <c r="H42" s="42"/>
      <c r="I42" s="42"/>
    </row>
    <row r="43" spans="1:18" ht="15.75" x14ac:dyDescent="0.25">
      <c r="A43" s="42"/>
      <c r="B43" s="42"/>
      <c r="C43" s="42"/>
      <c r="D43" s="42"/>
      <c r="E43" s="42"/>
      <c r="F43" s="42"/>
      <c r="G43" s="42"/>
      <c r="H43" s="42"/>
      <c r="I43" s="42"/>
    </row>
    <row r="44" spans="1:18" ht="15.75" x14ac:dyDescent="0.25">
      <c r="A44" s="42"/>
      <c r="B44" s="42"/>
      <c r="C44" s="42"/>
      <c r="D44" s="42"/>
      <c r="E44" s="42"/>
      <c r="F44" s="42"/>
      <c r="G44" s="42"/>
      <c r="H44" s="42"/>
      <c r="I44" s="42"/>
    </row>
  </sheetData>
  <mergeCells count="4">
    <mergeCell ref="A1:A5"/>
    <mergeCell ref="D1:D5"/>
    <mergeCell ref="F1:F5"/>
    <mergeCell ref="G1:G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opLeftCell="A8" zoomScale="70" zoomScaleNormal="70" workbookViewId="0">
      <selection activeCell="E20" sqref="E20"/>
    </sheetView>
  </sheetViews>
  <sheetFormatPr defaultRowHeight="14.25" x14ac:dyDescent="0.2"/>
  <sheetData>
    <row r="1" spans="1:20" ht="33" thickTop="1" thickBot="1" x14ac:dyDescent="0.3">
      <c r="A1" s="71" t="s">
        <v>191</v>
      </c>
      <c r="B1" s="41" t="s">
        <v>192</v>
      </c>
      <c r="C1" s="41" t="s">
        <v>193</v>
      </c>
      <c r="D1" s="71" t="s">
        <v>194</v>
      </c>
      <c r="E1" s="41" t="s">
        <v>195</v>
      </c>
      <c r="F1" s="71" t="s">
        <v>196</v>
      </c>
      <c r="G1" s="71" t="s">
        <v>197</v>
      </c>
      <c r="H1" s="42" t="s">
        <v>190</v>
      </c>
      <c r="I1" s="43" t="s">
        <v>198</v>
      </c>
      <c r="J1" s="40" t="s">
        <v>178</v>
      </c>
      <c r="K1" s="40" t="s">
        <v>54</v>
      </c>
      <c r="L1" s="40" t="s">
        <v>61</v>
      </c>
      <c r="M1" s="40" t="s">
        <v>63</v>
      </c>
      <c r="N1" s="40" t="s">
        <v>179</v>
      </c>
      <c r="O1" s="40" t="s">
        <v>181</v>
      </c>
      <c r="P1" s="40" t="s">
        <v>182</v>
      </c>
      <c r="Q1" s="40" t="s">
        <v>183</v>
      </c>
      <c r="R1" s="40" t="s">
        <v>184</v>
      </c>
      <c r="S1" s="40" t="s">
        <v>185</v>
      </c>
      <c r="T1" s="44" t="s">
        <v>186</v>
      </c>
    </row>
    <row r="2" spans="1:20" ht="16.5" thickTop="1" x14ac:dyDescent="0.25">
      <c r="A2" s="72"/>
      <c r="B2" s="40"/>
      <c r="C2" s="40"/>
      <c r="D2" s="72"/>
      <c r="E2" s="40"/>
      <c r="F2" s="72"/>
      <c r="G2" s="72"/>
      <c r="H2" s="42"/>
      <c r="I2" s="43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40">
        <v>0</v>
      </c>
      <c r="S2" s="40">
        <v>0</v>
      </c>
      <c r="T2" s="40">
        <v>0</v>
      </c>
    </row>
    <row r="3" spans="1:20" ht="15.75" x14ac:dyDescent="0.25">
      <c r="A3" s="72"/>
      <c r="B3" s="40"/>
      <c r="C3" s="40"/>
      <c r="D3" s="72"/>
      <c r="E3" s="40"/>
      <c r="F3" s="72"/>
      <c r="G3" s="72"/>
      <c r="H3" s="42"/>
      <c r="I3" s="43">
        <v>1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</row>
    <row r="4" spans="1:20" ht="15.75" x14ac:dyDescent="0.25">
      <c r="A4" s="72"/>
      <c r="B4" s="40"/>
      <c r="C4" s="40"/>
      <c r="D4" s="72"/>
      <c r="E4" s="40"/>
      <c r="F4" s="72"/>
      <c r="G4" s="72"/>
      <c r="H4" s="42"/>
      <c r="I4" s="43">
        <v>2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</row>
    <row r="5" spans="1:20" ht="16.5" thickBot="1" x14ac:dyDescent="0.3">
      <c r="A5" s="73"/>
      <c r="B5" s="46" t="s">
        <v>187</v>
      </c>
      <c r="C5" s="46" t="s">
        <v>188</v>
      </c>
      <c r="D5" s="73"/>
      <c r="E5" s="46" t="s">
        <v>189</v>
      </c>
      <c r="F5" s="73"/>
      <c r="G5" s="73"/>
      <c r="H5" s="42"/>
      <c r="I5" s="43">
        <v>3</v>
      </c>
      <c r="J5" s="49">
        <f>0.5*1.225*0.89*0.5*3.14*(158/2)^2*I5^3/1000000</f>
        <v>0.14421608404875003</v>
      </c>
      <c r="K5" s="49">
        <f>0.5*1.225*0.79*0.5*3.14*(171/2)^2*I5^3/1000000</f>
        <v>0.14994390960281251</v>
      </c>
      <c r="L5" s="49">
        <v>0</v>
      </c>
      <c r="M5" s="49">
        <v>0</v>
      </c>
      <c r="N5" s="49">
        <f>0.5*1.225*0.3*0.5*3.14*(266/2)^2*I5^3/1000000</f>
        <v>0.13778249546250002</v>
      </c>
      <c r="O5" s="49">
        <f>0.5*1.225*0.26*0.5*3.14*(252/2)^2*I5^3/1000000</f>
        <v>0.10717264467000001</v>
      </c>
      <c r="P5" s="49">
        <f>0.5*1.225*0.6*0.5*3.14*(226/2)^2*I5^3/1000000</f>
        <v>0.19891963192500003</v>
      </c>
      <c r="Q5" s="49">
        <f>0.5*1.225*0.59*0.5*3.14*(252/2)^2*I5^3/1000000</f>
        <v>0.24319946290500002</v>
      </c>
      <c r="R5" s="49">
        <f>0.5*1.225*0.57*0.5*3.14*(252/2)^2*I5^3/1000000</f>
        <v>0.234955413315</v>
      </c>
      <c r="S5" s="49">
        <f>0.5*1.225*0.47*0.5*3.14*(252/2)^2*I5^3/1000000</f>
        <v>0.19373516536499999</v>
      </c>
      <c r="T5" s="49">
        <f>0.5*1.225*0.41*0.5*3.14*(256/2)^2*I5^3/1000000</f>
        <v>0.17441077247999998</v>
      </c>
    </row>
    <row r="6" spans="1:20" ht="31.5" x14ac:dyDescent="0.25">
      <c r="A6" s="40" t="s">
        <v>178</v>
      </c>
      <c r="B6" s="40">
        <v>5.5</v>
      </c>
      <c r="C6" s="40">
        <v>158</v>
      </c>
      <c r="D6" s="40">
        <v>3</v>
      </c>
      <c r="E6" s="40">
        <v>10.1</v>
      </c>
      <c r="F6" s="40">
        <v>30</v>
      </c>
      <c r="G6" s="40">
        <v>70</v>
      </c>
      <c r="H6" s="47">
        <f>B6/(((0.5*1.225*0.5*3.14*(C6/2)^2)*(E6^3))/1000000)</f>
        <v>0.8894850234422863</v>
      </c>
      <c r="I6" s="43">
        <v>3.5</v>
      </c>
      <c r="J6" s="49">
        <f t="shared" ref="J6:J13" si="0">0.5*1.225*0.89*0.5*3.14*(158/2)^2*I6^3/1000000</f>
        <v>0.22900980013296882</v>
      </c>
      <c r="K6" s="49">
        <f t="shared" ref="K6:K14" si="1">0.5*1.225*0.79*0.5*3.14*(171/2)^2*I6^3/1000000</f>
        <v>0.23810537497113288</v>
      </c>
      <c r="L6" s="49">
        <f t="shared" ref="L6:L17" si="2">0.5*1.225*0.64*0.5*3.14*(116/2)^2*I6^3/1000000</f>
        <v>8.8765834360000004E-2</v>
      </c>
      <c r="M6" s="49">
        <v>0</v>
      </c>
      <c r="N6" s="49">
        <f t="shared" ref="N6:N22" si="3">0.5*1.225*0.3*0.5*3.14*(266/2)^2*I6^3/1000000</f>
        <v>0.21879349973906254</v>
      </c>
      <c r="O6" s="49">
        <f t="shared" ref="O6:O22" si="4">0.5*1.225*0.26*0.5*3.14*(252/2)^2*I6^3/1000000</f>
        <v>0.17018619037875005</v>
      </c>
      <c r="P6" s="49">
        <f t="shared" ref="P6:P14" si="5">0.5*1.225*0.6*0.5*3.14*(226/2)^2*I6^3/1000000</f>
        <v>0.31587700810312502</v>
      </c>
      <c r="Q6" s="49">
        <f t="shared" ref="Q6:Q14" si="6">0.5*1.225*0.59*0.5*3.14*(252/2)^2*I6^3/1000000</f>
        <v>0.38619173970562498</v>
      </c>
      <c r="R6" s="49">
        <f t="shared" ref="R6:R15" si="7">0.5*1.225*0.57*0.5*3.14*(252/2)^2*I6^3/1000000</f>
        <v>0.37310049429187497</v>
      </c>
      <c r="S6" s="49">
        <f t="shared" ref="S6:S18" si="8">0.5*1.225*0.47*0.5*3.14*(252/2)^2*I6^3/1000000</f>
        <v>0.30764426722312499</v>
      </c>
      <c r="T6" s="49">
        <f t="shared" ref="T6:T20" si="9">0.5*1.225*0.41*0.5*3.14*(256/2)^2*I6^3/1000000</f>
        <v>0.27695784703999998</v>
      </c>
    </row>
    <row r="7" spans="1:20" ht="31.5" x14ac:dyDescent="0.25">
      <c r="A7" s="40" t="s">
        <v>54</v>
      </c>
      <c r="B7" s="40">
        <v>6.45</v>
      </c>
      <c r="C7" s="40">
        <v>171</v>
      </c>
      <c r="D7" s="40">
        <v>3</v>
      </c>
      <c r="E7" s="40">
        <v>10.5</v>
      </c>
      <c r="F7" s="40">
        <v>25</v>
      </c>
      <c r="G7" s="40">
        <v>37.5</v>
      </c>
      <c r="H7" s="47">
        <f t="shared" ref="H7:H16" si="10">B7/(((0.5*1.225*0.5*3.14*(C7/2)^2)*(E7^3))/1000000)</f>
        <v>0.79259958850194923</v>
      </c>
      <c r="I7" s="40">
        <v>4</v>
      </c>
      <c r="J7" s="49">
        <f t="shared" si="0"/>
        <v>0.34184553256000005</v>
      </c>
      <c r="K7" s="49">
        <f t="shared" si="1"/>
        <v>0.35542260054000008</v>
      </c>
      <c r="L7" s="49">
        <f t="shared" si="2"/>
        <v>0.13250177024000001</v>
      </c>
      <c r="M7" s="49">
        <f t="shared" ref="M7:M16" si="11">0.5*1.225*0.8*0.5*3.14*(185/2)^2*I7^3/1000000</f>
        <v>0.42126868000000006</v>
      </c>
      <c r="N7" s="49">
        <f t="shared" si="3"/>
        <v>0.32659554480000003</v>
      </c>
      <c r="O7" s="49">
        <f t="shared" si="4"/>
        <v>0.25403886144000004</v>
      </c>
      <c r="P7" s="49">
        <f t="shared" si="5"/>
        <v>0.47151320160000004</v>
      </c>
      <c r="Q7" s="49">
        <f t="shared" si="6"/>
        <v>0.57647280095999998</v>
      </c>
      <c r="R7" s="49">
        <f t="shared" si="7"/>
        <v>0.55693135008000005</v>
      </c>
      <c r="S7" s="49">
        <f t="shared" si="8"/>
        <v>0.45922409567999994</v>
      </c>
      <c r="T7" s="49">
        <f t="shared" si="9"/>
        <v>0.41341812736</v>
      </c>
    </row>
    <row r="8" spans="1:20" ht="31.5" x14ac:dyDescent="0.25">
      <c r="A8" s="40" t="s">
        <v>61</v>
      </c>
      <c r="B8" s="40">
        <v>3.6</v>
      </c>
      <c r="C8" s="40">
        <v>116</v>
      </c>
      <c r="D8" s="40">
        <v>3.5</v>
      </c>
      <c r="E8" s="40">
        <v>12</v>
      </c>
      <c r="F8" s="40">
        <v>25</v>
      </c>
      <c r="G8" s="40">
        <v>59.5</v>
      </c>
      <c r="H8" s="47">
        <f t="shared" si="10"/>
        <v>0.64401655297713656</v>
      </c>
      <c r="I8" s="40">
        <v>5</v>
      </c>
      <c r="J8" s="49">
        <f t="shared" si="0"/>
        <v>0.66766705578125007</v>
      </c>
      <c r="K8" s="49">
        <f t="shared" si="1"/>
        <v>0.69418476667968765</v>
      </c>
      <c r="L8" s="49">
        <f t="shared" si="2"/>
        <v>0.25879252000000003</v>
      </c>
      <c r="M8" s="49">
        <f t="shared" si="11"/>
        <v>0.82279039062500015</v>
      </c>
      <c r="N8" s="49">
        <f t="shared" si="3"/>
        <v>0.63788192343750005</v>
      </c>
      <c r="O8" s="49">
        <f t="shared" si="4"/>
        <v>0.49616965125000007</v>
      </c>
      <c r="P8" s="49">
        <f t="shared" si="5"/>
        <v>0.920924221875</v>
      </c>
      <c r="Q8" s="49">
        <f t="shared" si="6"/>
        <v>1.1259234393750002</v>
      </c>
      <c r="R8" s="49">
        <f t="shared" si="7"/>
        <v>1.087756543125</v>
      </c>
      <c r="S8" s="49">
        <f t="shared" si="8"/>
        <v>0.8969220618749999</v>
      </c>
      <c r="T8" s="49">
        <f t="shared" si="9"/>
        <v>0.80745727999999994</v>
      </c>
    </row>
    <row r="9" spans="1:20" ht="31.5" x14ac:dyDescent="0.25">
      <c r="A9" s="40" t="s">
        <v>63</v>
      </c>
      <c r="B9" s="40">
        <v>10</v>
      </c>
      <c r="C9" s="40">
        <v>185</v>
      </c>
      <c r="D9" s="40">
        <v>4</v>
      </c>
      <c r="E9" s="40">
        <v>11.5</v>
      </c>
      <c r="F9" s="40">
        <v>30</v>
      </c>
      <c r="G9" s="40">
        <v>77</v>
      </c>
      <c r="H9" s="47">
        <f>B9/(((0.5*1.225*0.5*3.14*(C9/2)^2)*(E9^3))/1000000)</f>
        <v>0.7991296932047689</v>
      </c>
      <c r="I9" s="40">
        <v>6</v>
      </c>
      <c r="J9" s="49">
        <f t="shared" si="0"/>
        <v>1.1537286723900002</v>
      </c>
      <c r="K9" s="49">
        <f t="shared" si="1"/>
        <v>1.1995512768225001</v>
      </c>
      <c r="L9" s="49">
        <f t="shared" si="2"/>
        <v>0.44719347456000008</v>
      </c>
      <c r="M9" s="49">
        <f t="shared" si="11"/>
        <v>1.4217817950000002</v>
      </c>
      <c r="N9" s="49">
        <f t="shared" si="3"/>
        <v>1.1022599637000001</v>
      </c>
      <c r="O9" s="49">
        <f t="shared" si="4"/>
        <v>0.85738115736000009</v>
      </c>
      <c r="P9" s="49">
        <f t="shared" si="5"/>
        <v>1.5913570554000003</v>
      </c>
      <c r="Q9" s="49">
        <f t="shared" si="6"/>
        <v>1.9455957032400002</v>
      </c>
      <c r="R9" s="49">
        <f t="shared" si="7"/>
        <v>1.87964330652</v>
      </c>
      <c r="S9" s="49">
        <f t="shared" si="8"/>
        <v>1.5498813229199999</v>
      </c>
      <c r="T9" s="49">
        <f t="shared" si="9"/>
        <v>1.3952861798399998</v>
      </c>
    </row>
    <row r="10" spans="1:20" ht="31.5" x14ac:dyDescent="0.25">
      <c r="A10" s="40" t="s">
        <v>179</v>
      </c>
      <c r="B10" s="40">
        <v>14</v>
      </c>
      <c r="C10" s="40">
        <v>266</v>
      </c>
      <c r="D10" s="40">
        <v>3</v>
      </c>
      <c r="E10" s="40">
        <v>14</v>
      </c>
      <c r="F10" s="40">
        <v>30</v>
      </c>
      <c r="G10" s="40" t="s">
        <v>180</v>
      </c>
      <c r="H10" s="47">
        <f t="shared" si="10"/>
        <v>0.29994035507574807</v>
      </c>
      <c r="I10" s="40">
        <v>7</v>
      </c>
      <c r="J10" s="49">
        <f t="shared" si="0"/>
        <v>1.8320784010637505</v>
      </c>
      <c r="K10" s="49">
        <f t="shared" si="1"/>
        <v>1.904842999769063</v>
      </c>
      <c r="L10" s="49">
        <f t="shared" si="2"/>
        <v>0.71012667488000003</v>
      </c>
      <c r="M10" s="49">
        <f t="shared" si="11"/>
        <v>2.257736831875</v>
      </c>
      <c r="N10" s="49">
        <f t="shared" si="3"/>
        <v>1.7503479979125003</v>
      </c>
      <c r="O10" s="49">
        <f t="shared" si="4"/>
        <v>1.3614895230300004</v>
      </c>
      <c r="P10" s="49">
        <f t="shared" si="5"/>
        <v>2.5270160648250002</v>
      </c>
      <c r="Q10" s="49">
        <f t="shared" si="6"/>
        <v>3.0895339176449998</v>
      </c>
      <c r="R10" s="49">
        <f t="shared" si="7"/>
        <v>2.9848039543349998</v>
      </c>
      <c r="S10" s="49">
        <f t="shared" si="8"/>
        <v>2.4611541377849999</v>
      </c>
      <c r="T10" s="49">
        <f t="shared" si="9"/>
        <v>2.2156627763199999</v>
      </c>
    </row>
    <row r="11" spans="1:20" ht="15.75" x14ac:dyDescent="0.25">
      <c r="A11" s="40" t="s">
        <v>181</v>
      </c>
      <c r="B11" s="40">
        <v>12</v>
      </c>
      <c r="C11" s="40">
        <v>252</v>
      </c>
      <c r="D11" s="40">
        <v>3</v>
      </c>
      <c r="E11" s="40">
        <v>14.5</v>
      </c>
      <c r="F11" s="40">
        <v>30</v>
      </c>
      <c r="G11" s="40" t="s">
        <v>180</v>
      </c>
      <c r="H11" s="47">
        <f t="shared" si="10"/>
        <v>0.25782819229360693</v>
      </c>
      <c r="I11" s="40">
        <v>8</v>
      </c>
      <c r="J11" s="49">
        <f t="shared" si="0"/>
        <v>2.7347642604800004</v>
      </c>
      <c r="K11" s="49">
        <f t="shared" si="1"/>
        <v>2.8433808043200006</v>
      </c>
      <c r="L11" s="49">
        <f t="shared" si="2"/>
        <v>1.0600141619200001</v>
      </c>
      <c r="M11" s="49">
        <f t="shared" si="11"/>
        <v>3.3701494400000005</v>
      </c>
      <c r="N11" s="49">
        <f t="shared" si="3"/>
        <v>2.6127643584000002</v>
      </c>
      <c r="O11" s="49">
        <f t="shared" si="4"/>
        <v>2.0323108915200003</v>
      </c>
      <c r="P11" s="49">
        <f t="shared" si="5"/>
        <v>3.7721056128000003</v>
      </c>
      <c r="Q11" s="49">
        <f t="shared" si="6"/>
        <v>4.6117824076799998</v>
      </c>
      <c r="R11" s="49">
        <f t="shared" si="7"/>
        <v>4.4554508006400004</v>
      </c>
      <c r="S11" s="49">
        <f t="shared" si="8"/>
        <v>3.6737927654399996</v>
      </c>
      <c r="T11" s="49">
        <f t="shared" si="9"/>
        <v>3.30734501888</v>
      </c>
    </row>
    <row r="12" spans="1:20" ht="31.5" x14ac:dyDescent="0.25">
      <c r="A12" s="40" t="s">
        <v>182</v>
      </c>
      <c r="B12" s="40">
        <v>8.5</v>
      </c>
      <c r="C12" s="40">
        <v>226</v>
      </c>
      <c r="D12" s="40">
        <v>3</v>
      </c>
      <c r="E12" s="40">
        <v>10.5</v>
      </c>
      <c r="F12" s="40">
        <v>25</v>
      </c>
      <c r="G12" s="40">
        <v>79.8</v>
      </c>
      <c r="H12" s="47">
        <f t="shared" si="10"/>
        <v>0.59798239201766135</v>
      </c>
      <c r="I12" s="40">
        <v>9</v>
      </c>
      <c r="J12" s="49">
        <f t="shared" si="0"/>
        <v>3.8938342693162511</v>
      </c>
      <c r="K12" s="49">
        <f t="shared" si="1"/>
        <v>4.0484855592759379</v>
      </c>
      <c r="L12" s="49">
        <f t="shared" si="2"/>
        <v>1.5092779766400002</v>
      </c>
      <c r="M12" s="49">
        <f t="shared" si="11"/>
        <v>4.7985135581250002</v>
      </c>
      <c r="N12" s="49">
        <f t="shared" si="3"/>
        <v>3.7201273774875001</v>
      </c>
      <c r="O12" s="49">
        <f t="shared" si="4"/>
        <v>2.8936614060900006</v>
      </c>
      <c r="P12" s="49">
        <f t="shared" si="5"/>
        <v>5.370830061975</v>
      </c>
      <c r="Q12" s="49">
        <f t="shared" si="6"/>
        <v>6.5663854984350003</v>
      </c>
      <c r="R12" s="49">
        <f t="shared" si="7"/>
        <v>6.3437961595050005</v>
      </c>
      <c r="S12" s="49">
        <f t="shared" si="8"/>
        <v>5.230849464854999</v>
      </c>
      <c r="T12" s="49">
        <f t="shared" si="9"/>
        <v>4.7090908569599996</v>
      </c>
    </row>
    <row r="13" spans="1:20" ht="31.5" x14ac:dyDescent="0.25">
      <c r="A13" s="40" t="s">
        <v>183</v>
      </c>
      <c r="B13" s="40">
        <v>10.5</v>
      </c>
      <c r="C13" s="40">
        <v>252</v>
      </c>
      <c r="D13" s="40">
        <v>3</v>
      </c>
      <c r="E13" s="40">
        <v>10.5</v>
      </c>
      <c r="F13" s="40">
        <v>25</v>
      </c>
      <c r="G13" s="40">
        <v>79.8</v>
      </c>
      <c r="H13" s="47">
        <f t="shared" si="10"/>
        <v>0.59412053872342963</v>
      </c>
      <c r="I13" s="40">
        <v>10</v>
      </c>
      <c r="J13" s="49">
        <f t="shared" si="0"/>
        <v>5.3413364462500006</v>
      </c>
      <c r="K13" s="49">
        <f t="shared" si="1"/>
        <v>5.5534781334375012</v>
      </c>
      <c r="L13" s="49">
        <f t="shared" si="2"/>
        <v>2.0703401600000002</v>
      </c>
      <c r="M13" s="49">
        <f t="shared" si="11"/>
        <v>6.5823231250000012</v>
      </c>
      <c r="N13" s="49">
        <f t="shared" si="3"/>
        <v>5.1030553875000004</v>
      </c>
      <c r="O13" s="49">
        <f t="shared" si="4"/>
        <v>3.9693572100000005</v>
      </c>
      <c r="P13" s="49">
        <f t="shared" si="5"/>
        <v>7.367393775</v>
      </c>
      <c r="Q13" s="49">
        <f t="shared" si="6"/>
        <v>9.0073875150000013</v>
      </c>
      <c r="R13" s="49">
        <f t="shared" si="7"/>
        <v>8.7020523450000002</v>
      </c>
      <c r="S13" s="49">
        <f t="shared" si="8"/>
        <v>7.1753764949999992</v>
      </c>
      <c r="T13" s="49">
        <f t="shared" si="9"/>
        <v>6.4596582399999996</v>
      </c>
    </row>
    <row r="14" spans="1:20" ht="31.5" x14ac:dyDescent="0.25">
      <c r="A14" s="40" t="s">
        <v>184</v>
      </c>
      <c r="B14" s="40">
        <v>11.5</v>
      </c>
      <c r="C14" s="40">
        <v>252</v>
      </c>
      <c r="D14" s="40">
        <v>3</v>
      </c>
      <c r="E14" s="40">
        <v>11</v>
      </c>
      <c r="F14" s="40">
        <v>25</v>
      </c>
      <c r="G14" s="40">
        <v>79.8</v>
      </c>
      <c r="H14" s="47">
        <f t="shared" si="10"/>
        <v>0.56594333436060729</v>
      </c>
      <c r="I14" s="40">
        <v>10.1</v>
      </c>
      <c r="J14" s="50">
        <f>0.5*1.225*0.89*0.5*3.14*(158/2)^2*I14^3/1000000</f>
        <v>5.5031842819078216</v>
      </c>
      <c r="K14" s="49">
        <f t="shared" si="1"/>
        <v>5.72175407435879</v>
      </c>
      <c r="L14" s="49">
        <f t="shared" si="2"/>
        <v>2.1330735371881602</v>
      </c>
      <c r="M14" s="49">
        <f t="shared" si="11"/>
        <v>6.7817740980106258</v>
      </c>
      <c r="N14" s="49">
        <f t="shared" si="3"/>
        <v>5.2576830687966378</v>
      </c>
      <c r="O14" s="49">
        <f t="shared" si="4"/>
        <v>4.08963270282021</v>
      </c>
      <c r="P14" s="49">
        <f t="shared" si="5"/>
        <v>7.5906331737762747</v>
      </c>
      <c r="Q14" s="49">
        <f t="shared" si="6"/>
        <v>9.2803203640920149</v>
      </c>
      <c r="R14" s="49">
        <f t="shared" si="7"/>
        <v>8.9657332331058441</v>
      </c>
      <c r="S14" s="49">
        <f t="shared" si="8"/>
        <v>7.3927975781749939</v>
      </c>
      <c r="T14" s="49">
        <f t="shared" si="9"/>
        <v>6.655392344330239</v>
      </c>
    </row>
    <row r="15" spans="1:20" ht="31.5" x14ac:dyDescent="0.25">
      <c r="A15" s="40" t="s">
        <v>185</v>
      </c>
      <c r="B15" s="40">
        <v>14</v>
      </c>
      <c r="C15" s="40">
        <v>252</v>
      </c>
      <c r="D15" s="40">
        <v>3</v>
      </c>
      <c r="E15" s="40">
        <v>12.5</v>
      </c>
      <c r="F15" s="40">
        <v>25</v>
      </c>
      <c r="G15" s="40">
        <v>79.8</v>
      </c>
      <c r="H15" s="47">
        <f t="shared" si="10"/>
        <v>0.46951682637804215</v>
      </c>
      <c r="I15" s="40">
        <v>10.5</v>
      </c>
      <c r="J15" s="49">
        <v>5.5</v>
      </c>
      <c r="K15" s="50">
        <v>6.45</v>
      </c>
      <c r="L15" s="49">
        <f t="shared" si="2"/>
        <v>2.3966775277200001</v>
      </c>
      <c r="M15" s="49">
        <f t="shared" si="11"/>
        <v>7.6198618075781264</v>
      </c>
      <c r="N15" s="49">
        <f t="shared" si="3"/>
        <v>5.9074244929546884</v>
      </c>
      <c r="O15" s="49">
        <f t="shared" si="4"/>
        <v>4.5950271402262501</v>
      </c>
      <c r="P15" s="50">
        <v>8.5</v>
      </c>
      <c r="Q15" s="50">
        <v>10.5</v>
      </c>
      <c r="R15" s="49">
        <f t="shared" si="7"/>
        <v>10.073713345880625</v>
      </c>
      <c r="S15" s="49">
        <f t="shared" si="8"/>
        <v>8.3063952150243736</v>
      </c>
      <c r="T15" s="49">
        <f t="shared" si="9"/>
        <v>7.4778618700799999</v>
      </c>
    </row>
    <row r="16" spans="1:20" ht="32.25" thickBot="1" x14ac:dyDescent="0.3">
      <c r="A16" s="44" t="s">
        <v>186</v>
      </c>
      <c r="B16" s="44">
        <v>16</v>
      </c>
      <c r="C16" s="44">
        <v>256</v>
      </c>
      <c r="D16" s="44">
        <v>3</v>
      </c>
      <c r="E16" s="44">
        <v>13.5</v>
      </c>
      <c r="F16" s="44">
        <v>25</v>
      </c>
      <c r="G16" s="44">
        <v>79.8</v>
      </c>
      <c r="H16" s="47">
        <f t="shared" si="10"/>
        <v>0.41275561732492894</v>
      </c>
      <c r="I16" s="40">
        <v>11</v>
      </c>
      <c r="J16" s="49">
        <v>5.5</v>
      </c>
      <c r="K16" s="51">
        <v>6.45</v>
      </c>
      <c r="L16" s="49">
        <f t="shared" si="2"/>
        <v>2.7556227529600004</v>
      </c>
      <c r="M16" s="49">
        <f t="shared" si="11"/>
        <v>8.7610720793750012</v>
      </c>
      <c r="N16" s="49">
        <f t="shared" si="3"/>
        <v>6.7921667207625003</v>
      </c>
      <c r="O16" s="49">
        <f t="shared" si="4"/>
        <v>5.2832144465100015</v>
      </c>
      <c r="P16" s="49">
        <v>8.5</v>
      </c>
      <c r="Q16" s="49">
        <v>10.5</v>
      </c>
      <c r="R16" s="50">
        <v>11.5</v>
      </c>
      <c r="S16" s="49">
        <f t="shared" si="8"/>
        <v>9.5504261148450009</v>
      </c>
      <c r="T16" s="49">
        <f t="shared" si="9"/>
        <v>8.5978051174400001</v>
      </c>
    </row>
    <row r="17" spans="1:20" ht="16.5" thickTop="1" x14ac:dyDescent="0.25">
      <c r="A17" s="42"/>
      <c r="B17" s="42"/>
      <c r="C17" s="42"/>
      <c r="D17" s="42"/>
      <c r="E17" s="42"/>
      <c r="F17" s="42"/>
      <c r="G17" s="42"/>
      <c r="H17" s="42"/>
      <c r="I17" s="40">
        <v>11.5</v>
      </c>
      <c r="J17" s="49">
        <v>5.5</v>
      </c>
      <c r="K17" s="51">
        <v>6.45</v>
      </c>
      <c r="L17" s="49">
        <f t="shared" si="2"/>
        <v>3.1487285908400002</v>
      </c>
      <c r="M17" s="50">
        <v>10</v>
      </c>
      <c r="N17" s="49">
        <f t="shared" si="3"/>
        <v>7.7611093624640626</v>
      </c>
      <c r="O17" s="49">
        <f t="shared" si="4"/>
        <v>6.0368961467587514</v>
      </c>
      <c r="P17" s="49">
        <v>8.5</v>
      </c>
      <c r="Q17" s="49">
        <v>10.5</v>
      </c>
      <c r="R17" s="49">
        <v>11.5</v>
      </c>
      <c r="S17" s="49">
        <f t="shared" si="8"/>
        <v>10.912850726833124</v>
      </c>
      <c r="T17" s="49">
        <f t="shared" si="9"/>
        <v>9.8243327257599997</v>
      </c>
    </row>
    <row r="18" spans="1:20" ht="15.75" x14ac:dyDescent="0.25">
      <c r="A18" s="42"/>
      <c r="B18" s="42"/>
      <c r="C18" s="42"/>
      <c r="D18" s="42"/>
      <c r="E18" s="42"/>
      <c r="F18" s="42"/>
      <c r="G18" s="42"/>
      <c r="H18" s="42"/>
      <c r="I18" s="40">
        <v>12</v>
      </c>
      <c r="J18" s="49">
        <v>5.5</v>
      </c>
      <c r="K18" s="51">
        <v>6.45</v>
      </c>
      <c r="L18" s="50">
        <v>3.6</v>
      </c>
      <c r="M18" s="49">
        <v>10</v>
      </c>
      <c r="N18" s="49">
        <f t="shared" si="3"/>
        <v>8.818079709600001</v>
      </c>
      <c r="O18" s="49">
        <f t="shared" si="4"/>
        <v>6.8590492588800007</v>
      </c>
      <c r="P18" s="49">
        <v>8.5</v>
      </c>
      <c r="Q18" s="49">
        <v>10.5</v>
      </c>
      <c r="R18" s="49">
        <v>11.5</v>
      </c>
      <c r="S18" s="49">
        <f t="shared" si="8"/>
        <v>12.399050583359999</v>
      </c>
      <c r="T18" s="49">
        <f t="shared" si="9"/>
        <v>11.162289438719998</v>
      </c>
    </row>
    <row r="19" spans="1:20" ht="15.75" x14ac:dyDescent="0.25">
      <c r="A19" s="40"/>
      <c r="B19" s="40"/>
      <c r="C19" s="40"/>
      <c r="D19" s="40"/>
      <c r="E19" s="40"/>
      <c r="F19" s="40"/>
      <c r="G19" s="40"/>
      <c r="H19" s="42"/>
      <c r="I19" s="40">
        <v>12.5</v>
      </c>
      <c r="J19" s="49">
        <v>5.5</v>
      </c>
      <c r="K19" s="51">
        <v>6.45</v>
      </c>
      <c r="L19" s="49">
        <v>3.6</v>
      </c>
      <c r="M19" s="49">
        <v>10</v>
      </c>
      <c r="N19" s="49">
        <f t="shared" si="3"/>
        <v>9.9669050537109385</v>
      </c>
      <c r="O19" s="49">
        <f t="shared" si="4"/>
        <v>7.7526508007812511</v>
      </c>
      <c r="P19" s="49">
        <v>8.5</v>
      </c>
      <c r="Q19" s="49">
        <v>10.5</v>
      </c>
      <c r="R19" s="49">
        <v>11.5</v>
      </c>
      <c r="S19" s="50">
        <v>14</v>
      </c>
      <c r="T19" s="49">
        <f t="shared" si="9"/>
        <v>12.61652</v>
      </c>
    </row>
    <row r="20" spans="1:20" ht="15.75" x14ac:dyDescent="0.25">
      <c r="A20" s="40"/>
      <c r="B20" s="40"/>
      <c r="C20" s="40"/>
      <c r="D20" s="40"/>
      <c r="E20" s="40"/>
      <c r="F20" s="40"/>
      <c r="G20" s="40"/>
      <c r="H20" s="42"/>
      <c r="I20" s="40">
        <v>13</v>
      </c>
      <c r="J20" s="49">
        <v>5.5</v>
      </c>
      <c r="K20" s="51">
        <v>6.45</v>
      </c>
      <c r="L20" s="49">
        <v>3.6</v>
      </c>
      <c r="M20" s="49">
        <v>10</v>
      </c>
      <c r="N20" s="49">
        <f t="shared" si="3"/>
        <v>11.211412686337502</v>
      </c>
      <c r="O20" s="49">
        <f t="shared" si="4"/>
        <v>8.7206777903700008</v>
      </c>
      <c r="P20" s="49">
        <v>8.5</v>
      </c>
      <c r="Q20" s="49">
        <v>10.5</v>
      </c>
      <c r="R20" s="49">
        <v>11.5</v>
      </c>
      <c r="S20" s="49">
        <v>14</v>
      </c>
      <c r="T20" s="49">
        <f t="shared" si="9"/>
        <v>14.191869153279999</v>
      </c>
    </row>
    <row r="21" spans="1:20" ht="15.75" x14ac:dyDescent="0.25">
      <c r="A21" s="42"/>
      <c r="B21" s="42"/>
      <c r="C21" s="42"/>
      <c r="D21" s="42"/>
      <c r="E21" s="42"/>
      <c r="F21" s="42"/>
      <c r="G21" s="42"/>
      <c r="H21" s="42"/>
      <c r="I21" s="40">
        <v>13.5</v>
      </c>
      <c r="J21" s="49">
        <v>5.5</v>
      </c>
      <c r="K21" s="51">
        <v>6.45</v>
      </c>
      <c r="L21" s="49">
        <v>3.6</v>
      </c>
      <c r="M21" s="49">
        <v>10</v>
      </c>
      <c r="N21" s="49">
        <f t="shared" si="3"/>
        <v>12.555429899020314</v>
      </c>
      <c r="O21" s="49">
        <f t="shared" si="4"/>
        <v>9.7661072455537514</v>
      </c>
      <c r="P21" s="49">
        <v>8.5</v>
      </c>
      <c r="Q21" s="49">
        <v>10.5</v>
      </c>
      <c r="R21" s="49">
        <v>11.5</v>
      </c>
      <c r="S21" s="49">
        <v>14</v>
      </c>
      <c r="T21" s="50">
        <v>16</v>
      </c>
    </row>
    <row r="22" spans="1:20" ht="15.75" x14ac:dyDescent="0.25">
      <c r="A22" s="42"/>
      <c r="B22" s="42"/>
      <c r="C22" s="42"/>
      <c r="D22" s="42"/>
      <c r="E22" s="42"/>
      <c r="F22" s="42"/>
      <c r="G22" s="42"/>
      <c r="H22" s="42"/>
      <c r="I22" s="40">
        <v>14</v>
      </c>
      <c r="J22" s="49">
        <v>5.5</v>
      </c>
      <c r="K22" s="51">
        <v>6.45</v>
      </c>
      <c r="L22" s="49">
        <v>3.6</v>
      </c>
      <c r="M22" s="49">
        <v>10</v>
      </c>
      <c r="N22" s="50">
        <f t="shared" si="3"/>
        <v>14.002783983300002</v>
      </c>
      <c r="O22" s="49">
        <f t="shared" si="4"/>
        <v>10.891916184240003</v>
      </c>
      <c r="P22" s="49">
        <v>8.5</v>
      </c>
      <c r="Q22" s="49">
        <v>10.5</v>
      </c>
      <c r="R22" s="49">
        <v>11.5</v>
      </c>
      <c r="S22" s="49">
        <v>14</v>
      </c>
      <c r="T22" s="49">
        <v>16</v>
      </c>
    </row>
    <row r="23" spans="1:20" ht="15.75" x14ac:dyDescent="0.25">
      <c r="A23" s="42"/>
      <c r="B23" s="42"/>
      <c r="C23" s="42"/>
      <c r="D23" s="42"/>
      <c r="E23" s="42"/>
      <c r="F23" s="42"/>
      <c r="G23" s="42"/>
      <c r="H23" s="42"/>
      <c r="I23" s="40">
        <v>14.5</v>
      </c>
      <c r="J23" s="49">
        <v>5.5</v>
      </c>
      <c r="K23" s="51">
        <v>6.45</v>
      </c>
      <c r="L23" s="49">
        <v>3.6</v>
      </c>
      <c r="M23" s="49">
        <v>10</v>
      </c>
      <c r="N23" s="49">
        <v>14</v>
      </c>
      <c r="O23" s="50">
        <v>12</v>
      </c>
      <c r="P23" s="49">
        <v>8.5</v>
      </c>
      <c r="Q23" s="49">
        <v>10.5</v>
      </c>
      <c r="R23" s="49">
        <v>11.5</v>
      </c>
      <c r="S23" s="49">
        <v>14</v>
      </c>
      <c r="T23" s="49">
        <v>16</v>
      </c>
    </row>
    <row r="24" spans="1:20" ht="15.75" x14ac:dyDescent="0.25">
      <c r="A24" s="42"/>
      <c r="B24" s="42"/>
      <c r="C24" s="42"/>
      <c r="D24" s="42"/>
      <c r="E24" s="42"/>
      <c r="F24" s="42"/>
      <c r="G24" s="42"/>
      <c r="H24" s="42"/>
      <c r="I24" s="40">
        <v>15</v>
      </c>
      <c r="J24" s="49">
        <v>5.5</v>
      </c>
      <c r="K24" s="51">
        <v>6.45</v>
      </c>
      <c r="L24" s="49">
        <v>3.6</v>
      </c>
      <c r="M24" s="49">
        <v>10</v>
      </c>
      <c r="N24" s="49">
        <v>14</v>
      </c>
      <c r="O24" s="49">
        <v>12</v>
      </c>
      <c r="P24" s="49">
        <v>8.5</v>
      </c>
      <c r="Q24" s="49">
        <v>10.5</v>
      </c>
      <c r="R24" s="49">
        <v>11.5</v>
      </c>
      <c r="S24" s="49">
        <v>14</v>
      </c>
      <c r="T24" s="49">
        <v>16</v>
      </c>
    </row>
    <row r="25" spans="1:20" ht="15.75" x14ac:dyDescent="0.25">
      <c r="A25" s="42"/>
      <c r="B25" s="42"/>
      <c r="C25" s="42"/>
      <c r="D25" s="42"/>
      <c r="E25" s="42"/>
      <c r="F25" s="42"/>
      <c r="G25" s="42"/>
      <c r="H25" s="42"/>
      <c r="I25" s="40">
        <v>16</v>
      </c>
      <c r="J25" s="49">
        <v>5.5</v>
      </c>
      <c r="K25" s="51">
        <v>6.45</v>
      </c>
      <c r="L25" s="49">
        <v>3.6</v>
      </c>
      <c r="M25" s="49">
        <v>10</v>
      </c>
      <c r="N25" s="49">
        <v>14</v>
      </c>
      <c r="O25" s="49">
        <v>12</v>
      </c>
      <c r="P25" s="49">
        <v>8.5</v>
      </c>
      <c r="Q25" s="49">
        <v>10.5</v>
      </c>
      <c r="R25" s="49">
        <v>11.5</v>
      </c>
      <c r="S25" s="49">
        <v>14</v>
      </c>
      <c r="T25" s="49">
        <v>16</v>
      </c>
    </row>
    <row r="26" spans="1:20" ht="15.75" x14ac:dyDescent="0.25">
      <c r="A26" s="42"/>
      <c r="B26" s="42"/>
      <c r="C26" s="42"/>
      <c r="D26" s="42"/>
      <c r="E26" s="42"/>
      <c r="F26" s="42"/>
      <c r="G26" s="42"/>
      <c r="H26" s="42"/>
      <c r="I26" s="40">
        <v>17</v>
      </c>
      <c r="J26" s="49">
        <v>5.5</v>
      </c>
      <c r="K26" s="51">
        <v>6.45</v>
      </c>
      <c r="L26" s="49">
        <v>3.6</v>
      </c>
      <c r="M26" s="49">
        <v>10</v>
      </c>
      <c r="N26" s="49">
        <v>14</v>
      </c>
      <c r="O26" s="49">
        <v>12</v>
      </c>
      <c r="P26" s="49">
        <v>8.5</v>
      </c>
      <c r="Q26" s="49">
        <v>10.5</v>
      </c>
      <c r="R26" s="49">
        <v>11.5</v>
      </c>
      <c r="S26" s="49">
        <v>14</v>
      </c>
      <c r="T26" s="49">
        <v>16</v>
      </c>
    </row>
    <row r="27" spans="1:20" ht="15.75" x14ac:dyDescent="0.25">
      <c r="A27" s="42"/>
      <c r="B27" s="42"/>
      <c r="C27" s="42"/>
      <c r="D27" s="42"/>
      <c r="E27" s="42"/>
      <c r="F27" s="42"/>
      <c r="G27" s="42"/>
      <c r="H27" s="42"/>
      <c r="I27" s="40">
        <v>18</v>
      </c>
      <c r="J27" s="49">
        <v>5.5</v>
      </c>
      <c r="K27" s="51">
        <v>6.45</v>
      </c>
      <c r="L27" s="49">
        <v>3.6</v>
      </c>
      <c r="M27" s="49">
        <v>10</v>
      </c>
      <c r="N27" s="49">
        <v>14</v>
      </c>
      <c r="O27" s="49">
        <v>12</v>
      </c>
      <c r="P27" s="49">
        <v>8.5</v>
      </c>
      <c r="Q27" s="49">
        <v>10.5</v>
      </c>
      <c r="R27" s="49">
        <v>11.5</v>
      </c>
      <c r="S27" s="49">
        <v>14</v>
      </c>
      <c r="T27" s="49">
        <v>16</v>
      </c>
    </row>
    <row r="28" spans="1:20" ht="15.75" x14ac:dyDescent="0.25">
      <c r="A28" s="42"/>
      <c r="B28" s="42"/>
      <c r="C28" s="42"/>
      <c r="D28" s="42"/>
      <c r="E28" s="42"/>
      <c r="F28" s="42"/>
      <c r="G28" s="42"/>
      <c r="H28" s="42"/>
      <c r="I28" s="40">
        <v>19</v>
      </c>
      <c r="J28" s="49">
        <v>5.5</v>
      </c>
      <c r="K28" s="51">
        <v>6.45</v>
      </c>
      <c r="L28" s="49">
        <v>3.6</v>
      </c>
      <c r="M28" s="49">
        <v>10</v>
      </c>
      <c r="N28" s="49">
        <v>14</v>
      </c>
      <c r="O28" s="49">
        <v>12</v>
      </c>
      <c r="P28" s="49">
        <v>8.5</v>
      </c>
      <c r="Q28" s="49">
        <v>10.5</v>
      </c>
      <c r="R28" s="49">
        <v>11.5</v>
      </c>
      <c r="S28" s="49">
        <v>14</v>
      </c>
      <c r="T28" s="49">
        <v>16</v>
      </c>
    </row>
    <row r="29" spans="1:20" ht="15.75" x14ac:dyDescent="0.25">
      <c r="A29" s="42"/>
      <c r="B29" s="42"/>
      <c r="C29" s="42"/>
      <c r="D29" s="42"/>
      <c r="E29" s="42"/>
      <c r="F29" s="42"/>
      <c r="G29" s="42"/>
      <c r="H29" s="42"/>
      <c r="I29" s="40">
        <v>20</v>
      </c>
      <c r="J29" s="49">
        <v>5.5</v>
      </c>
      <c r="K29" s="51">
        <v>6.45</v>
      </c>
      <c r="L29" s="49">
        <v>3.6</v>
      </c>
      <c r="M29" s="49">
        <v>10</v>
      </c>
      <c r="N29" s="49">
        <v>14</v>
      </c>
      <c r="O29" s="49">
        <v>12</v>
      </c>
      <c r="P29" s="49">
        <v>8.5</v>
      </c>
      <c r="Q29" s="49">
        <v>10.5</v>
      </c>
      <c r="R29" s="49">
        <v>11.5</v>
      </c>
      <c r="S29" s="49">
        <v>14</v>
      </c>
      <c r="T29" s="49">
        <v>16</v>
      </c>
    </row>
    <row r="30" spans="1:20" ht="15.75" x14ac:dyDescent="0.25">
      <c r="A30" s="42"/>
      <c r="B30" s="42"/>
      <c r="C30" s="42"/>
      <c r="D30" s="42"/>
      <c r="E30" s="42"/>
      <c r="F30" s="42"/>
      <c r="G30" s="42"/>
      <c r="H30" s="42"/>
      <c r="I30" s="40">
        <v>21</v>
      </c>
      <c r="J30" s="49">
        <v>5.5</v>
      </c>
      <c r="K30" s="51">
        <v>6.45</v>
      </c>
      <c r="L30" s="49">
        <v>3.6</v>
      </c>
      <c r="M30" s="49">
        <v>10</v>
      </c>
      <c r="N30" s="49">
        <v>14</v>
      </c>
      <c r="O30" s="49">
        <v>12</v>
      </c>
      <c r="P30" s="49">
        <v>8.5</v>
      </c>
      <c r="Q30" s="49">
        <v>10.5</v>
      </c>
      <c r="R30" s="49">
        <v>11.5</v>
      </c>
      <c r="S30" s="49">
        <v>14</v>
      </c>
      <c r="T30" s="49">
        <v>16</v>
      </c>
    </row>
    <row r="31" spans="1:20" ht="15.75" x14ac:dyDescent="0.25">
      <c r="A31" s="42"/>
      <c r="B31" s="42"/>
      <c r="C31" s="42"/>
      <c r="D31" s="42"/>
      <c r="E31" s="42"/>
      <c r="F31" s="42"/>
      <c r="G31" s="42"/>
      <c r="H31" s="42"/>
      <c r="I31" s="40">
        <v>22</v>
      </c>
      <c r="J31" s="49">
        <v>5.5</v>
      </c>
      <c r="K31" s="51">
        <v>6.45</v>
      </c>
      <c r="L31" s="49">
        <v>3.6</v>
      </c>
      <c r="M31" s="49">
        <v>10</v>
      </c>
      <c r="N31" s="49">
        <v>14</v>
      </c>
      <c r="O31" s="49">
        <v>12</v>
      </c>
      <c r="P31" s="49">
        <v>8.5</v>
      </c>
      <c r="Q31" s="49">
        <v>10.5</v>
      </c>
      <c r="R31" s="49">
        <v>11.5</v>
      </c>
      <c r="S31" s="49">
        <v>14</v>
      </c>
      <c r="T31" s="49">
        <v>16</v>
      </c>
    </row>
    <row r="32" spans="1:20" ht="15.75" x14ac:dyDescent="0.25">
      <c r="A32" s="42"/>
      <c r="B32" s="42"/>
      <c r="C32" s="42"/>
      <c r="D32" s="42"/>
      <c r="E32" s="42"/>
      <c r="F32" s="42"/>
      <c r="G32" s="42"/>
      <c r="H32" s="42"/>
      <c r="I32" s="40">
        <v>23</v>
      </c>
      <c r="J32" s="49">
        <v>5.5</v>
      </c>
      <c r="K32" s="51">
        <v>6.45</v>
      </c>
      <c r="L32" s="49">
        <v>3.6</v>
      </c>
      <c r="M32" s="49">
        <v>10</v>
      </c>
      <c r="N32" s="49">
        <v>14</v>
      </c>
      <c r="O32" s="49">
        <v>12</v>
      </c>
      <c r="P32" s="49">
        <v>8.5</v>
      </c>
      <c r="Q32" s="49">
        <v>10.5</v>
      </c>
      <c r="R32" s="49">
        <v>11.5</v>
      </c>
      <c r="S32" s="49">
        <v>14</v>
      </c>
      <c r="T32" s="49">
        <v>16</v>
      </c>
    </row>
    <row r="33" spans="1:20" ht="15.75" x14ac:dyDescent="0.25">
      <c r="A33" s="42"/>
      <c r="B33" s="42"/>
      <c r="C33" s="42"/>
      <c r="D33" s="42"/>
      <c r="E33" s="42"/>
      <c r="F33" s="42"/>
      <c r="G33" s="42"/>
      <c r="H33" s="42"/>
      <c r="I33" s="40">
        <v>24</v>
      </c>
      <c r="J33" s="49">
        <v>5.5</v>
      </c>
      <c r="K33" s="51">
        <v>6.45</v>
      </c>
      <c r="L33" s="49">
        <v>3.6</v>
      </c>
      <c r="M33" s="49">
        <v>10</v>
      </c>
      <c r="N33" s="49">
        <v>14</v>
      </c>
      <c r="O33" s="49">
        <v>12</v>
      </c>
      <c r="P33" s="49">
        <v>8.5</v>
      </c>
      <c r="Q33" s="49">
        <v>10.5</v>
      </c>
      <c r="R33" s="49">
        <v>11.5</v>
      </c>
      <c r="S33" s="49">
        <v>14</v>
      </c>
      <c r="T33" s="49">
        <v>16</v>
      </c>
    </row>
    <row r="34" spans="1:20" ht="15.75" x14ac:dyDescent="0.25">
      <c r="A34" s="42"/>
      <c r="B34" s="42"/>
      <c r="C34" s="42"/>
      <c r="D34" s="42"/>
      <c r="E34" s="42"/>
      <c r="F34" s="42"/>
      <c r="G34" s="42"/>
      <c r="H34" s="42"/>
      <c r="I34" s="40">
        <v>25</v>
      </c>
      <c r="J34" s="49">
        <v>5.5</v>
      </c>
      <c r="K34" s="52">
        <v>6.45</v>
      </c>
      <c r="L34" s="50">
        <v>3.6</v>
      </c>
      <c r="M34" s="49">
        <v>10</v>
      </c>
      <c r="N34" s="49">
        <v>14</v>
      </c>
      <c r="O34" s="49">
        <v>12</v>
      </c>
      <c r="P34" s="50">
        <v>8.5</v>
      </c>
      <c r="Q34" s="49">
        <v>10.5</v>
      </c>
      <c r="R34" s="49">
        <v>11.5</v>
      </c>
      <c r="S34" s="49">
        <v>14</v>
      </c>
      <c r="T34" s="49">
        <v>16</v>
      </c>
    </row>
    <row r="35" spans="1:20" ht="15.75" x14ac:dyDescent="0.25">
      <c r="A35" s="42"/>
      <c r="B35" s="42"/>
      <c r="C35" s="42"/>
      <c r="D35" s="42"/>
      <c r="E35" s="42"/>
      <c r="F35" s="42"/>
      <c r="G35" s="42"/>
      <c r="H35" s="42"/>
      <c r="I35" s="40">
        <v>26</v>
      </c>
      <c r="J35" s="49">
        <v>5.5</v>
      </c>
      <c r="K35" s="51">
        <v>0</v>
      </c>
      <c r="L35" s="49">
        <v>0</v>
      </c>
      <c r="M35" s="49">
        <v>10</v>
      </c>
      <c r="N35" s="49">
        <v>14</v>
      </c>
      <c r="O35" s="49">
        <v>12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</row>
    <row r="36" spans="1:20" ht="15.75" x14ac:dyDescent="0.25">
      <c r="A36" s="42"/>
      <c r="B36" s="42"/>
      <c r="C36" s="42"/>
      <c r="D36" s="42"/>
      <c r="E36" s="42"/>
      <c r="F36" s="42"/>
      <c r="G36" s="42"/>
      <c r="H36" s="42"/>
      <c r="I36" s="40">
        <v>27</v>
      </c>
      <c r="J36" s="49">
        <v>5.5</v>
      </c>
      <c r="K36" s="51">
        <v>0</v>
      </c>
      <c r="L36" s="49">
        <v>0</v>
      </c>
      <c r="M36" s="49">
        <v>10</v>
      </c>
      <c r="N36" s="49">
        <v>14</v>
      </c>
      <c r="O36" s="49">
        <v>12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</row>
    <row r="37" spans="1:20" ht="15.75" x14ac:dyDescent="0.25">
      <c r="A37" s="42"/>
      <c r="B37" s="42"/>
      <c r="C37" s="42"/>
      <c r="D37" s="42"/>
      <c r="E37" s="42"/>
      <c r="F37" s="42"/>
      <c r="G37" s="42"/>
      <c r="H37" s="42"/>
      <c r="I37" s="40">
        <v>28</v>
      </c>
      <c r="J37" s="49">
        <v>5.5</v>
      </c>
      <c r="K37" s="51">
        <v>0</v>
      </c>
      <c r="L37" s="49">
        <v>0</v>
      </c>
      <c r="M37" s="49">
        <v>10</v>
      </c>
      <c r="N37" s="49">
        <v>14</v>
      </c>
      <c r="O37" s="49">
        <v>12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</row>
    <row r="38" spans="1:20" ht="15.75" x14ac:dyDescent="0.25">
      <c r="A38" s="42"/>
      <c r="B38" s="42"/>
      <c r="C38" s="42"/>
      <c r="D38" s="42"/>
      <c r="E38" s="42"/>
      <c r="F38" s="42"/>
      <c r="G38" s="42"/>
      <c r="H38" s="42"/>
      <c r="I38" s="40">
        <v>29</v>
      </c>
      <c r="J38" s="49">
        <v>5.5</v>
      </c>
      <c r="K38" s="51">
        <v>0</v>
      </c>
      <c r="L38" s="49">
        <v>0</v>
      </c>
      <c r="M38" s="49">
        <v>10</v>
      </c>
      <c r="N38" s="49">
        <v>14</v>
      </c>
      <c r="O38" s="49">
        <v>12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</row>
    <row r="39" spans="1:20" ht="15.75" x14ac:dyDescent="0.25">
      <c r="A39" s="42"/>
      <c r="B39" s="42"/>
      <c r="C39" s="42"/>
      <c r="D39" s="42"/>
      <c r="E39" s="42"/>
      <c r="F39" s="42"/>
      <c r="G39" s="42"/>
      <c r="H39" s="42"/>
      <c r="I39" s="40">
        <v>30</v>
      </c>
      <c r="J39" s="50">
        <v>5.5</v>
      </c>
      <c r="K39" s="51">
        <v>0</v>
      </c>
      <c r="L39" s="49">
        <v>0</v>
      </c>
      <c r="M39" s="49">
        <v>10</v>
      </c>
      <c r="N39" s="50">
        <v>14</v>
      </c>
      <c r="O39" s="49">
        <v>12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</row>
    <row r="40" spans="1:20" ht="15.75" x14ac:dyDescent="0.25">
      <c r="A40" s="42"/>
      <c r="B40" s="42"/>
      <c r="C40" s="42"/>
      <c r="D40" s="42"/>
      <c r="E40" s="42"/>
      <c r="F40" s="42"/>
      <c r="G40" s="42"/>
      <c r="H40" s="42"/>
      <c r="I40" s="40">
        <v>31</v>
      </c>
      <c r="J40" s="49">
        <v>0</v>
      </c>
      <c r="K40" s="49">
        <v>0</v>
      </c>
      <c r="L40" s="45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0</v>
      </c>
    </row>
    <row r="41" spans="1:20" ht="15.75" x14ac:dyDescent="0.25">
      <c r="A41" s="42"/>
      <c r="B41" s="42"/>
      <c r="C41" s="42"/>
      <c r="D41" s="42"/>
      <c r="E41" s="42"/>
      <c r="F41" s="42"/>
      <c r="G41" s="42"/>
      <c r="H41" s="42"/>
      <c r="I41" s="40">
        <v>32</v>
      </c>
      <c r="J41" s="42">
        <v>0</v>
      </c>
      <c r="K41" s="49">
        <v>0</v>
      </c>
      <c r="L41" s="45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</row>
    <row r="42" spans="1:20" ht="15.75" x14ac:dyDescent="0.25">
      <c r="A42" s="42"/>
      <c r="B42" s="42"/>
      <c r="C42" s="42"/>
      <c r="D42" s="42"/>
      <c r="E42" s="42"/>
      <c r="F42" s="42"/>
      <c r="G42" s="42"/>
      <c r="H42" s="42"/>
      <c r="I42" s="40">
        <v>33</v>
      </c>
      <c r="J42" s="42">
        <v>0</v>
      </c>
      <c r="K42" s="49">
        <v>0</v>
      </c>
      <c r="L42" s="45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</row>
    <row r="43" spans="1:20" ht="15.75" x14ac:dyDescent="0.25">
      <c r="A43" s="42"/>
      <c r="B43" s="42"/>
      <c r="C43" s="42"/>
      <c r="D43" s="42"/>
      <c r="E43" s="42"/>
      <c r="F43" s="42"/>
      <c r="G43" s="42"/>
      <c r="H43" s="42"/>
      <c r="I43" s="40">
        <v>34</v>
      </c>
      <c r="J43" s="42">
        <v>0</v>
      </c>
      <c r="K43" s="49">
        <v>0</v>
      </c>
      <c r="L43" s="45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</row>
    <row r="44" spans="1:20" ht="15.75" x14ac:dyDescent="0.25">
      <c r="A44" s="42"/>
      <c r="B44" s="42"/>
      <c r="C44" s="42"/>
      <c r="D44" s="42"/>
      <c r="E44" s="42"/>
      <c r="F44" s="42"/>
      <c r="G44" s="42"/>
      <c r="H44" s="42"/>
      <c r="I44" s="40">
        <v>35</v>
      </c>
      <c r="J44" s="42">
        <v>0</v>
      </c>
      <c r="K44" s="49">
        <v>0</v>
      </c>
      <c r="L44" s="49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</row>
  </sheetData>
  <mergeCells count="4">
    <mergeCell ref="A1:A5"/>
    <mergeCell ref="D1:D5"/>
    <mergeCell ref="F1:F5"/>
    <mergeCell ref="G1:G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40"/>
  <sheetViews>
    <sheetView tabSelected="1" topLeftCell="AG15" zoomScale="130" zoomScaleNormal="130" workbookViewId="0">
      <selection activeCell="AU30" sqref="AU30"/>
    </sheetView>
  </sheetViews>
  <sheetFormatPr defaultColWidth="9" defaultRowHeight="14.25" x14ac:dyDescent="0.2"/>
  <cols>
    <col min="1" max="3" width="9" style="27"/>
    <col min="4" max="4" width="16.75" style="27" customWidth="1"/>
    <col min="5" max="5" width="22.875" style="27" customWidth="1"/>
    <col min="6" max="6" width="9" style="27"/>
    <col min="7" max="7" width="15.25" style="27" customWidth="1"/>
    <col min="8" max="8" width="13.875" style="27" customWidth="1"/>
    <col min="9" max="11" width="9" style="27"/>
    <col min="12" max="12" width="9.375" style="27" bestFit="1" customWidth="1"/>
    <col min="13" max="14" width="9" style="27"/>
    <col min="15" max="15" width="14" style="27" customWidth="1"/>
    <col min="16" max="18" width="9.125" style="27" bestFit="1" customWidth="1"/>
    <col min="19" max="19" width="14.125" style="27" customWidth="1"/>
    <col min="20" max="20" width="13" style="27" customWidth="1"/>
    <col min="21" max="23" width="9.125" style="27" bestFit="1" customWidth="1"/>
    <col min="24" max="24" width="9.125" style="27" customWidth="1"/>
    <col min="25" max="25" width="16.125" style="27" customWidth="1"/>
    <col min="26" max="26" width="13.875" style="27" customWidth="1"/>
    <col min="27" max="27" width="10.625" style="27" customWidth="1"/>
    <col min="28" max="39" width="9" style="27"/>
    <col min="40" max="40" width="12.375" style="27" customWidth="1"/>
    <col min="41" max="51" width="9" style="27"/>
    <col min="52" max="52" width="13.25" style="27" customWidth="1"/>
    <col min="53" max="55" width="9" style="27"/>
    <col min="56" max="64" width="9.125" style="27" bestFit="1" customWidth="1"/>
    <col min="65" max="65" width="9" style="27"/>
    <col min="66" max="66" width="17.875" style="27" customWidth="1"/>
    <col min="67" max="67" width="12.875" style="27" customWidth="1"/>
    <col min="68" max="284" width="9" style="27"/>
    <col min="285" max="285" width="16.75" style="27" customWidth="1"/>
    <col min="286" max="286" width="22.875" style="27" customWidth="1"/>
    <col min="287" max="287" width="9" style="27"/>
    <col min="288" max="288" width="15.25" style="27" customWidth="1"/>
    <col min="289" max="289" width="13.875" style="27" customWidth="1"/>
    <col min="290" max="292" width="9" style="27"/>
    <col min="293" max="293" width="9.375" style="27" bestFit="1" customWidth="1"/>
    <col min="294" max="295" width="9" style="27"/>
    <col min="296" max="296" width="14" style="27" customWidth="1"/>
    <col min="297" max="299" width="9.125" style="27" bestFit="1" customWidth="1"/>
    <col min="300" max="300" width="14.125" style="27" customWidth="1"/>
    <col min="301" max="301" width="13" style="27" customWidth="1"/>
    <col min="302" max="304" width="9.125" style="27" bestFit="1" customWidth="1"/>
    <col min="305" max="305" width="9.125" style="27" customWidth="1"/>
    <col min="306" max="306" width="16.125" style="27" customWidth="1"/>
    <col min="307" max="307" width="13.875" style="27" customWidth="1"/>
    <col min="308" max="308" width="10.625" style="27" customWidth="1"/>
    <col min="309" max="320" width="9" style="27"/>
    <col min="321" max="321" width="12.375" style="27" customWidth="1"/>
    <col min="322" max="332" width="9" style="27"/>
    <col min="333" max="333" width="13.25" style="27" customWidth="1"/>
    <col min="334" max="336" width="9" style="27"/>
    <col min="337" max="345" width="9.125" style="27" bestFit="1" customWidth="1"/>
    <col min="346" max="346" width="9" style="27"/>
    <col min="347" max="347" width="17.875" style="27" customWidth="1"/>
    <col min="348" max="348" width="12.875" style="27" customWidth="1"/>
    <col min="349" max="540" width="9" style="27"/>
    <col min="541" max="541" width="16.75" style="27" customWidth="1"/>
    <col min="542" max="542" width="22.875" style="27" customWidth="1"/>
    <col min="543" max="543" width="9" style="27"/>
    <col min="544" max="544" width="15.25" style="27" customWidth="1"/>
    <col min="545" max="545" width="13.875" style="27" customWidth="1"/>
    <col min="546" max="548" width="9" style="27"/>
    <col min="549" max="549" width="9.375" style="27" bestFit="1" customWidth="1"/>
    <col min="550" max="551" width="9" style="27"/>
    <col min="552" max="552" width="14" style="27" customWidth="1"/>
    <col min="553" max="555" width="9.125" style="27" bestFit="1" customWidth="1"/>
    <col min="556" max="556" width="14.125" style="27" customWidth="1"/>
    <col min="557" max="557" width="13" style="27" customWidth="1"/>
    <col min="558" max="560" width="9.125" style="27" bestFit="1" customWidth="1"/>
    <col min="561" max="561" width="9.125" style="27" customWidth="1"/>
    <col min="562" max="562" width="16.125" style="27" customWidth="1"/>
    <col min="563" max="563" width="13.875" style="27" customWidth="1"/>
    <col min="564" max="564" width="10.625" style="27" customWidth="1"/>
    <col min="565" max="576" width="9" style="27"/>
    <col min="577" max="577" width="12.375" style="27" customWidth="1"/>
    <col min="578" max="588" width="9" style="27"/>
    <col min="589" max="589" width="13.25" style="27" customWidth="1"/>
    <col min="590" max="592" width="9" style="27"/>
    <col min="593" max="601" width="9.125" style="27" bestFit="1" customWidth="1"/>
    <col min="602" max="602" width="9" style="27"/>
    <col min="603" max="603" width="17.875" style="27" customWidth="1"/>
    <col min="604" max="604" width="12.875" style="27" customWidth="1"/>
    <col min="605" max="796" width="9" style="27"/>
    <col min="797" max="797" width="16.75" style="27" customWidth="1"/>
    <col min="798" max="798" width="22.875" style="27" customWidth="1"/>
    <col min="799" max="799" width="9" style="27"/>
    <col min="800" max="800" width="15.25" style="27" customWidth="1"/>
    <col min="801" max="801" width="13.875" style="27" customWidth="1"/>
    <col min="802" max="804" width="9" style="27"/>
    <col min="805" max="805" width="9.375" style="27" bestFit="1" customWidth="1"/>
    <col min="806" max="807" width="9" style="27"/>
    <col min="808" max="808" width="14" style="27" customWidth="1"/>
    <col min="809" max="811" width="9.125" style="27" bestFit="1" customWidth="1"/>
    <col min="812" max="812" width="14.125" style="27" customWidth="1"/>
    <col min="813" max="813" width="13" style="27" customWidth="1"/>
    <col min="814" max="816" width="9.125" style="27" bestFit="1" customWidth="1"/>
    <col min="817" max="817" width="9.125" style="27" customWidth="1"/>
    <col min="818" max="818" width="16.125" style="27" customWidth="1"/>
    <col min="819" max="819" width="13.875" style="27" customWidth="1"/>
    <col min="820" max="820" width="10.625" style="27" customWidth="1"/>
    <col min="821" max="832" width="9" style="27"/>
    <col min="833" max="833" width="12.375" style="27" customWidth="1"/>
    <col min="834" max="844" width="9" style="27"/>
    <col min="845" max="845" width="13.25" style="27" customWidth="1"/>
    <col min="846" max="848" width="9" style="27"/>
    <col min="849" max="857" width="9.125" style="27" bestFit="1" customWidth="1"/>
    <col min="858" max="858" width="9" style="27"/>
    <col min="859" max="859" width="17.875" style="27" customWidth="1"/>
    <col min="860" max="860" width="12.875" style="27" customWidth="1"/>
    <col min="861" max="1052" width="9" style="27"/>
    <col min="1053" max="1053" width="16.75" style="27" customWidth="1"/>
    <col min="1054" max="1054" width="22.875" style="27" customWidth="1"/>
    <col min="1055" max="1055" width="9" style="27"/>
    <col min="1056" max="1056" width="15.25" style="27" customWidth="1"/>
    <col min="1057" max="1057" width="13.875" style="27" customWidth="1"/>
    <col min="1058" max="1060" width="9" style="27"/>
    <col min="1061" max="1061" width="9.375" style="27" bestFit="1" customWidth="1"/>
    <col min="1062" max="1063" width="9" style="27"/>
    <col min="1064" max="1064" width="14" style="27" customWidth="1"/>
    <col min="1065" max="1067" width="9.125" style="27" bestFit="1" customWidth="1"/>
    <col min="1068" max="1068" width="14.125" style="27" customWidth="1"/>
    <col min="1069" max="1069" width="13" style="27" customWidth="1"/>
    <col min="1070" max="1072" width="9.125" style="27" bestFit="1" customWidth="1"/>
    <col min="1073" max="1073" width="9.125" style="27" customWidth="1"/>
    <col min="1074" max="1074" width="16.125" style="27" customWidth="1"/>
    <col min="1075" max="1075" width="13.875" style="27" customWidth="1"/>
    <col min="1076" max="1076" width="10.625" style="27" customWidth="1"/>
    <col min="1077" max="1088" width="9" style="27"/>
    <col min="1089" max="1089" width="12.375" style="27" customWidth="1"/>
    <col min="1090" max="1100" width="9" style="27"/>
    <col min="1101" max="1101" width="13.25" style="27" customWidth="1"/>
    <col min="1102" max="1104" width="9" style="27"/>
    <col min="1105" max="1113" width="9.125" style="27" bestFit="1" customWidth="1"/>
    <col min="1114" max="1114" width="9" style="27"/>
    <col min="1115" max="1115" width="17.875" style="27" customWidth="1"/>
    <col min="1116" max="1116" width="12.875" style="27" customWidth="1"/>
    <col min="1117" max="1308" width="9" style="27"/>
    <col min="1309" max="1309" width="16.75" style="27" customWidth="1"/>
    <col min="1310" max="1310" width="22.875" style="27" customWidth="1"/>
    <col min="1311" max="1311" width="9" style="27"/>
    <col min="1312" max="1312" width="15.25" style="27" customWidth="1"/>
    <col min="1313" max="1313" width="13.875" style="27" customWidth="1"/>
    <col min="1314" max="1316" width="9" style="27"/>
    <col min="1317" max="1317" width="9.375" style="27" bestFit="1" customWidth="1"/>
    <col min="1318" max="1319" width="9" style="27"/>
    <col min="1320" max="1320" width="14" style="27" customWidth="1"/>
    <col min="1321" max="1323" width="9.125" style="27" bestFit="1" customWidth="1"/>
    <col min="1324" max="1324" width="14.125" style="27" customWidth="1"/>
    <col min="1325" max="1325" width="13" style="27" customWidth="1"/>
    <col min="1326" max="1328" width="9.125" style="27" bestFit="1" customWidth="1"/>
    <col min="1329" max="1329" width="9.125" style="27" customWidth="1"/>
    <col min="1330" max="1330" width="16.125" style="27" customWidth="1"/>
    <col min="1331" max="1331" width="13.875" style="27" customWidth="1"/>
    <col min="1332" max="1332" width="10.625" style="27" customWidth="1"/>
    <col min="1333" max="1344" width="9" style="27"/>
    <col min="1345" max="1345" width="12.375" style="27" customWidth="1"/>
    <col min="1346" max="1356" width="9" style="27"/>
    <col min="1357" max="1357" width="13.25" style="27" customWidth="1"/>
    <col min="1358" max="1360" width="9" style="27"/>
    <col min="1361" max="1369" width="9.125" style="27" bestFit="1" customWidth="1"/>
    <col min="1370" max="1370" width="9" style="27"/>
    <col min="1371" max="1371" width="17.875" style="27" customWidth="1"/>
    <col min="1372" max="1372" width="12.875" style="27" customWidth="1"/>
    <col min="1373" max="1564" width="9" style="27"/>
    <col min="1565" max="1565" width="16.75" style="27" customWidth="1"/>
    <col min="1566" max="1566" width="22.875" style="27" customWidth="1"/>
    <col min="1567" max="1567" width="9" style="27"/>
    <col min="1568" max="1568" width="15.25" style="27" customWidth="1"/>
    <col min="1569" max="1569" width="13.875" style="27" customWidth="1"/>
    <col min="1570" max="1572" width="9" style="27"/>
    <col min="1573" max="1573" width="9.375" style="27" bestFit="1" customWidth="1"/>
    <col min="1574" max="1575" width="9" style="27"/>
    <col min="1576" max="1576" width="14" style="27" customWidth="1"/>
    <col min="1577" max="1579" width="9.125" style="27" bestFit="1" customWidth="1"/>
    <col min="1580" max="1580" width="14.125" style="27" customWidth="1"/>
    <col min="1581" max="1581" width="13" style="27" customWidth="1"/>
    <col min="1582" max="1584" width="9.125" style="27" bestFit="1" customWidth="1"/>
    <col min="1585" max="1585" width="9.125" style="27" customWidth="1"/>
    <col min="1586" max="1586" width="16.125" style="27" customWidth="1"/>
    <col min="1587" max="1587" width="13.875" style="27" customWidth="1"/>
    <col min="1588" max="1588" width="10.625" style="27" customWidth="1"/>
    <col min="1589" max="1600" width="9" style="27"/>
    <col min="1601" max="1601" width="12.375" style="27" customWidth="1"/>
    <col min="1602" max="1612" width="9" style="27"/>
    <col min="1613" max="1613" width="13.25" style="27" customWidth="1"/>
    <col min="1614" max="1616" width="9" style="27"/>
    <col min="1617" max="1625" width="9.125" style="27" bestFit="1" customWidth="1"/>
    <col min="1626" max="1626" width="9" style="27"/>
    <col min="1627" max="1627" width="17.875" style="27" customWidth="1"/>
    <col min="1628" max="1628" width="12.875" style="27" customWidth="1"/>
    <col min="1629" max="1820" width="9" style="27"/>
    <col min="1821" max="1821" width="16.75" style="27" customWidth="1"/>
    <col min="1822" max="1822" width="22.875" style="27" customWidth="1"/>
    <col min="1823" max="1823" width="9" style="27"/>
    <col min="1824" max="1824" width="15.25" style="27" customWidth="1"/>
    <col min="1825" max="1825" width="13.875" style="27" customWidth="1"/>
    <col min="1826" max="1828" width="9" style="27"/>
    <col min="1829" max="1829" width="9.375" style="27" bestFit="1" customWidth="1"/>
    <col min="1830" max="1831" width="9" style="27"/>
    <col min="1832" max="1832" width="14" style="27" customWidth="1"/>
    <col min="1833" max="1835" width="9.125" style="27" bestFit="1" customWidth="1"/>
    <col min="1836" max="1836" width="14.125" style="27" customWidth="1"/>
    <col min="1837" max="1837" width="13" style="27" customWidth="1"/>
    <col min="1838" max="1840" width="9.125" style="27" bestFit="1" customWidth="1"/>
    <col min="1841" max="1841" width="9.125" style="27" customWidth="1"/>
    <col min="1842" max="1842" width="16.125" style="27" customWidth="1"/>
    <col min="1843" max="1843" width="13.875" style="27" customWidth="1"/>
    <col min="1844" max="1844" width="10.625" style="27" customWidth="1"/>
    <col min="1845" max="1856" width="9" style="27"/>
    <col min="1857" max="1857" width="12.375" style="27" customWidth="1"/>
    <col min="1858" max="1868" width="9" style="27"/>
    <col min="1869" max="1869" width="13.25" style="27" customWidth="1"/>
    <col min="1870" max="1872" width="9" style="27"/>
    <col min="1873" max="1881" width="9.125" style="27" bestFit="1" customWidth="1"/>
    <col min="1882" max="1882" width="9" style="27"/>
    <col min="1883" max="1883" width="17.875" style="27" customWidth="1"/>
    <col min="1884" max="1884" width="12.875" style="27" customWidth="1"/>
    <col min="1885" max="2076" width="9" style="27"/>
    <col min="2077" max="2077" width="16.75" style="27" customWidth="1"/>
    <col min="2078" max="2078" width="22.875" style="27" customWidth="1"/>
    <col min="2079" max="2079" width="9" style="27"/>
    <col min="2080" max="2080" width="15.25" style="27" customWidth="1"/>
    <col min="2081" max="2081" width="13.875" style="27" customWidth="1"/>
    <col min="2082" max="2084" width="9" style="27"/>
    <col min="2085" max="2085" width="9.375" style="27" bestFit="1" customWidth="1"/>
    <col min="2086" max="2087" width="9" style="27"/>
    <col min="2088" max="2088" width="14" style="27" customWidth="1"/>
    <col min="2089" max="2091" width="9.125" style="27" bestFit="1" customWidth="1"/>
    <col min="2092" max="2092" width="14.125" style="27" customWidth="1"/>
    <col min="2093" max="2093" width="13" style="27" customWidth="1"/>
    <col min="2094" max="2096" width="9.125" style="27" bestFit="1" customWidth="1"/>
    <col min="2097" max="2097" width="9.125" style="27" customWidth="1"/>
    <col min="2098" max="2098" width="16.125" style="27" customWidth="1"/>
    <col min="2099" max="2099" width="13.875" style="27" customWidth="1"/>
    <col min="2100" max="2100" width="10.625" style="27" customWidth="1"/>
    <col min="2101" max="2112" width="9" style="27"/>
    <col min="2113" max="2113" width="12.375" style="27" customWidth="1"/>
    <col min="2114" max="2124" width="9" style="27"/>
    <col min="2125" max="2125" width="13.25" style="27" customWidth="1"/>
    <col min="2126" max="2128" width="9" style="27"/>
    <col min="2129" max="2137" width="9.125" style="27" bestFit="1" customWidth="1"/>
    <col min="2138" max="2138" width="9" style="27"/>
    <col min="2139" max="2139" width="17.875" style="27" customWidth="1"/>
    <col min="2140" max="2140" width="12.875" style="27" customWidth="1"/>
    <col min="2141" max="2332" width="9" style="27"/>
    <col min="2333" max="2333" width="16.75" style="27" customWidth="1"/>
    <col min="2334" max="2334" width="22.875" style="27" customWidth="1"/>
    <col min="2335" max="2335" width="9" style="27"/>
    <col min="2336" max="2336" width="15.25" style="27" customWidth="1"/>
    <col min="2337" max="2337" width="13.875" style="27" customWidth="1"/>
    <col min="2338" max="2340" width="9" style="27"/>
    <col min="2341" max="2341" width="9.375" style="27" bestFit="1" customWidth="1"/>
    <col min="2342" max="2343" width="9" style="27"/>
    <col min="2344" max="2344" width="14" style="27" customWidth="1"/>
    <col min="2345" max="2347" width="9.125" style="27" bestFit="1" customWidth="1"/>
    <col min="2348" max="2348" width="14.125" style="27" customWidth="1"/>
    <col min="2349" max="2349" width="13" style="27" customWidth="1"/>
    <col min="2350" max="2352" width="9.125" style="27" bestFit="1" customWidth="1"/>
    <col min="2353" max="2353" width="9.125" style="27" customWidth="1"/>
    <col min="2354" max="2354" width="16.125" style="27" customWidth="1"/>
    <col min="2355" max="2355" width="13.875" style="27" customWidth="1"/>
    <col min="2356" max="2356" width="10.625" style="27" customWidth="1"/>
    <col min="2357" max="2368" width="9" style="27"/>
    <col min="2369" max="2369" width="12.375" style="27" customWidth="1"/>
    <col min="2370" max="2380" width="9" style="27"/>
    <col min="2381" max="2381" width="13.25" style="27" customWidth="1"/>
    <col min="2382" max="2384" width="9" style="27"/>
    <col min="2385" max="2393" width="9.125" style="27" bestFit="1" customWidth="1"/>
    <col min="2394" max="2394" width="9" style="27"/>
    <col min="2395" max="2395" width="17.875" style="27" customWidth="1"/>
    <col min="2396" max="2396" width="12.875" style="27" customWidth="1"/>
    <col min="2397" max="2588" width="9" style="27"/>
    <col min="2589" max="2589" width="16.75" style="27" customWidth="1"/>
    <col min="2590" max="2590" width="22.875" style="27" customWidth="1"/>
    <col min="2591" max="2591" width="9" style="27"/>
    <col min="2592" max="2592" width="15.25" style="27" customWidth="1"/>
    <col min="2593" max="2593" width="13.875" style="27" customWidth="1"/>
    <col min="2594" max="2596" width="9" style="27"/>
    <col min="2597" max="2597" width="9.375" style="27" bestFit="1" customWidth="1"/>
    <col min="2598" max="2599" width="9" style="27"/>
    <col min="2600" max="2600" width="14" style="27" customWidth="1"/>
    <col min="2601" max="2603" width="9.125" style="27" bestFit="1" customWidth="1"/>
    <col min="2604" max="2604" width="14.125" style="27" customWidth="1"/>
    <col min="2605" max="2605" width="13" style="27" customWidth="1"/>
    <col min="2606" max="2608" width="9.125" style="27" bestFit="1" customWidth="1"/>
    <col min="2609" max="2609" width="9.125" style="27" customWidth="1"/>
    <col min="2610" max="2610" width="16.125" style="27" customWidth="1"/>
    <col min="2611" max="2611" width="13.875" style="27" customWidth="1"/>
    <col min="2612" max="2612" width="10.625" style="27" customWidth="1"/>
    <col min="2613" max="2624" width="9" style="27"/>
    <col min="2625" max="2625" width="12.375" style="27" customWidth="1"/>
    <col min="2626" max="2636" width="9" style="27"/>
    <col min="2637" max="2637" width="13.25" style="27" customWidth="1"/>
    <col min="2638" max="2640" width="9" style="27"/>
    <col min="2641" max="2649" width="9.125" style="27" bestFit="1" customWidth="1"/>
    <col min="2650" max="2650" width="9" style="27"/>
    <col min="2651" max="2651" width="17.875" style="27" customWidth="1"/>
    <col min="2652" max="2652" width="12.875" style="27" customWidth="1"/>
    <col min="2653" max="2844" width="9" style="27"/>
    <col min="2845" max="2845" width="16.75" style="27" customWidth="1"/>
    <col min="2846" max="2846" width="22.875" style="27" customWidth="1"/>
    <col min="2847" max="2847" width="9" style="27"/>
    <col min="2848" max="2848" width="15.25" style="27" customWidth="1"/>
    <col min="2849" max="2849" width="13.875" style="27" customWidth="1"/>
    <col min="2850" max="2852" width="9" style="27"/>
    <col min="2853" max="2853" width="9.375" style="27" bestFit="1" customWidth="1"/>
    <col min="2854" max="2855" width="9" style="27"/>
    <col min="2856" max="2856" width="14" style="27" customWidth="1"/>
    <col min="2857" max="2859" width="9.125" style="27" bestFit="1" customWidth="1"/>
    <col min="2860" max="2860" width="14.125" style="27" customWidth="1"/>
    <col min="2861" max="2861" width="13" style="27" customWidth="1"/>
    <col min="2862" max="2864" width="9.125" style="27" bestFit="1" customWidth="1"/>
    <col min="2865" max="2865" width="9.125" style="27" customWidth="1"/>
    <col min="2866" max="2866" width="16.125" style="27" customWidth="1"/>
    <col min="2867" max="2867" width="13.875" style="27" customWidth="1"/>
    <col min="2868" max="2868" width="10.625" style="27" customWidth="1"/>
    <col min="2869" max="2880" width="9" style="27"/>
    <col min="2881" max="2881" width="12.375" style="27" customWidth="1"/>
    <col min="2882" max="2892" width="9" style="27"/>
    <col min="2893" max="2893" width="13.25" style="27" customWidth="1"/>
    <col min="2894" max="2896" width="9" style="27"/>
    <col min="2897" max="2905" width="9.125" style="27" bestFit="1" customWidth="1"/>
    <col min="2906" max="2906" width="9" style="27"/>
    <col min="2907" max="2907" width="17.875" style="27" customWidth="1"/>
    <col min="2908" max="2908" width="12.875" style="27" customWidth="1"/>
    <col min="2909" max="3100" width="9" style="27"/>
    <col min="3101" max="3101" width="16.75" style="27" customWidth="1"/>
    <col min="3102" max="3102" width="22.875" style="27" customWidth="1"/>
    <col min="3103" max="3103" width="9" style="27"/>
    <col min="3104" max="3104" width="15.25" style="27" customWidth="1"/>
    <col min="3105" max="3105" width="13.875" style="27" customWidth="1"/>
    <col min="3106" max="3108" width="9" style="27"/>
    <col min="3109" max="3109" width="9.375" style="27" bestFit="1" customWidth="1"/>
    <col min="3110" max="3111" width="9" style="27"/>
    <col min="3112" max="3112" width="14" style="27" customWidth="1"/>
    <col min="3113" max="3115" width="9.125" style="27" bestFit="1" customWidth="1"/>
    <col min="3116" max="3116" width="14.125" style="27" customWidth="1"/>
    <col min="3117" max="3117" width="13" style="27" customWidth="1"/>
    <col min="3118" max="3120" width="9.125" style="27" bestFit="1" customWidth="1"/>
    <col min="3121" max="3121" width="9.125" style="27" customWidth="1"/>
    <col min="3122" max="3122" width="16.125" style="27" customWidth="1"/>
    <col min="3123" max="3123" width="13.875" style="27" customWidth="1"/>
    <col min="3124" max="3124" width="10.625" style="27" customWidth="1"/>
    <col min="3125" max="3136" width="9" style="27"/>
    <col min="3137" max="3137" width="12.375" style="27" customWidth="1"/>
    <col min="3138" max="3148" width="9" style="27"/>
    <col min="3149" max="3149" width="13.25" style="27" customWidth="1"/>
    <col min="3150" max="3152" width="9" style="27"/>
    <col min="3153" max="3161" width="9.125" style="27" bestFit="1" customWidth="1"/>
    <col min="3162" max="3162" width="9" style="27"/>
    <col min="3163" max="3163" width="17.875" style="27" customWidth="1"/>
    <col min="3164" max="3164" width="12.875" style="27" customWidth="1"/>
    <col min="3165" max="3356" width="9" style="27"/>
    <col min="3357" max="3357" width="16.75" style="27" customWidth="1"/>
    <col min="3358" max="3358" width="22.875" style="27" customWidth="1"/>
    <col min="3359" max="3359" width="9" style="27"/>
    <col min="3360" max="3360" width="15.25" style="27" customWidth="1"/>
    <col min="3361" max="3361" width="13.875" style="27" customWidth="1"/>
    <col min="3362" max="3364" width="9" style="27"/>
    <col min="3365" max="3365" width="9.375" style="27" bestFit="1" customWidth="1"/>
    <col min="3366" max="3367" width="9" style="27"/>
    <col min="3368" max="3368" width="14" style="27" customWidth="1"/>
    <col min="3369" max="3371" width="9.125" style="27" bestFit="1" customWidth="1"/>
    <col min="3372" max="3372" width="14.125" style="27" customWidth="1"/>
    <col min="3373" max="3373" width="13" style="27" customWidth="1"/>
    <col min="3374" max="3376" width="9.125" style="27" bestFit="1" customWidth="1"/>
    <col min="3377" max="3377" width="9.125" style="27" customWidth="1"/>
    <col min="3378" max="3378" width="16.125" style="27" customWidth="1"/>
    <col min="3379" max="3379" width="13.875" style="27" customWidth="1"/>
    <col min="3380" max="3380" width="10.625" style="27" customWidth="1"/>
    <col min="3381" max="3392" width="9" style="27"/>
    <col min="3393" max="3393" width="12.375" style="27" customWidth="1"/>
    <col min="3394" max="3404" width="9" style="27"/>
    <col min="3405" max="3405" width="13.25" style="27" customWidth="1"/>
    <col min="3406" max="3408" width="9" style="27"/>
    <col min="3409" max="3417" width="9.125" style="27" bestFit="1" customWidth="1"/>
    <col min="3418" max="3418" width="9" style="27"/>
    <col min="3419" max="3419" width="17.875" style="27" customWidth="1"/>
    <col min="3420" max="3420" width="12.875" style="27" customWidth="1"/>
    <col min="3421" max="3612" width="9" style="27"/>
    <col min="3613" max="3613" width="16.75" style="27" customWidth="1"/>
    <col min="3614" max="3614" width="22.875" style="27" customWidth="1"/>
    <col min="3615" max="3615" width="9" style="27"/>
    <col min="3616" max="3616" width="15.25" style="27" customWidth="1"/>
    <col min="3617" max="3617" width="13.875" style="27" customWidth="1"/>
    <col min="3618" max="3620" width="9" style="27"/>
    <col min="3621" max="3621" width="9.375" style="27" bestFit="1" customWidth="1"/>
    <col min="3622" max="3623" width="9" style="27"/>
    <col min="3624" max="3624" width="14" style="27" customWidth="1"/>
    <col min="3625" max="3627" width="9.125" style="27" bestFit="1" customWidth="1"/>
    <col min="3628" max="3628" width="14.125" style="27" customWidth="1"/>
    <col min="3629" max="3629" width="13" style="27" customWidth="1"/>
    <col min="3630" max="3632" width="9.125" style="27" bestFit="1" customWidth="1"/>
    <col min="3633" max="3633" width="9.125" style="27" customWidth="1"/>
    <col min="3634" max="3634" width="16.125" style="27" customWidth="1"/>
    <col min="3635" max="3635" width="13.875" style="27" customWidth="1"/>
    <col min="3636" max="3636" width="10.625" style="27" customWidth="1"/>
    <col min="3637" max="3648" width="9" style="27"/>
    <col min="3649" max="3649" width="12.375" style="27" customWidth="1"/>
    <col min="3650" max="3660" width="9" style="27"/>
    <col min="3661" max="3661" width="13.25" style="27" customWidth="1"/>
    <col min="3662" max="3664" width="9" style="27"/>
    <col min="3665" max="3673" width="9.125" style="27" bestFit="1" customWidth="1"/>
    <col min="3674" max="3674" width="9" style="27"/>
    <col min="3675" max="3675" width="17.875" style="27" customWidth="1"/>
    <col min="3676" max="3676" width="12.875" style="27" customWidth="1"/>
    <col min="3677" max="3868" width="9" style="27"/>
    <col min="3869" max="3869" width="16.75" style="27" customWidth="1"/>
    <col min="3870" max="3870" width="22.875" style="27" customWidth="1"/>
    <col min="3871" max="3871" width="9" style="27"/>
    <col min="3872" max="3872" width="15.25" style="27" customWidth="1"/>
    <col min="3873" max="3873" width="13.875" style="27" customWidth="1"/>
    <col min="3874" max="3876" width="9" style="27"/>
    <col min="3877" max="3877" width="9.375" style="27" bestFit="1" customWidth="1"/>
    <col min="3878" max="3879" width="9" style="27"/>
    <col min="3880" max="3880" width="14" style="27" customWidth="1"/>
    <col min="3881" max="3883" width="9.125" style="27" bestFit="1" customWidth="1"/>
    <col min="3884" max="3884" width="14.125" style="27" customWidth="1"/>
    <col min="3885" max="3885" width="13" style="27" customWidth="1"/>
    <col min="3886" max="3888" width="9.125" style="27" bestFit="1" customWidth="1"/>
    <col min="3889" max="3889" width="9.125" style="27" customWidth="1"/>
    <col min="3890" max="3890" width="16.125" style="27" customWidth="1"/>
    <col min="3891" max="3891" width="13.875" style="27" customWidth="1"/>
    <col min="3892" max="3892" width="10.625" style="27" customWidth="1"/>
    <col min="3893" max="3904" width="9" style="27"/>
    <col min="3905" max="3905" width="12.375" style="27" customWidth="1"/>
    <col min="3906" max="3916" width="9" style="27"/>
    <col min="3917" max="3917" width="13.25" style="27" customWidth="1"/>
    <col min="3918" max="3920" width="9" style="27"/>
    <col min="3921" max="3929" width="9.125" style="27" bestFit="1" customWidth="1"/>
    <col min="3930" max="3930" width="9" style="27"/>
    <col min="3931" max="3931" width="17.875" style="27" customWidth="1"/>
    <col min="3932" max="3932" width="12.875" style="27" customWidth="1"/>
    <col min="3933" max="4124" width="9" style="27"/>
    <col min="4125" max="4125" width="16.75" style="27" customWidth="1"/>
    <col min="4126" max="4126" width="22.875" style="27" customWidth="1"/>
    <col min="4127" max="4127" width="9" style="27"/>
    <col min="4128" max="4128" width="15.25" style="27" customWidth="1"/>
    <col min="4129" max="4129" width="13.875" style="27" customWidth="1"/>
    <col min="4130" max="4132" width="9" style="27"/>
    <col min="4133" max="4133" width="9.375" style="27" bestFit="1" customWidth="1"/>
    <col min="4134" max="4135" width="9" style="27"/>
    <col min="4136" max="4136" width="14" style="27" customWidth="1"/>
    <col min="4137" max="4139" width="9.125" style="27" bestFit="1" customWidth="1"/>
    <col min="4140" max="4140" width="14.125" style="27" customWidth="1"/>
    <col min="4141" max="4141" width="13" style="27" customWidth="1"/>
    <col min="4142" max="4144" width="9.125" style="27" bestFit="1" customWidth="1"/>
    <col min="4145" max="4145" width="9.125" style="27" customWidth="1"/>
    <col min="4146" max="4146" width="16.125" style="27" customWidth="1"/>
    <col min="4147" max="4147" width="13.875" style="27" customWidth="1"/>
    <col min="4148" max="4148" width="10.625" style="27" customWidth="1"/>
    <col min="4149" max="4160" width="9" style="27"/>
    <col min="4161" max="4161" width="12.375" style="27" customWidth="1"/>
    <col min="4162" max="4172" width="9" style="27"/>
    <col min="4173" max="4173" width="13.25" style="27" customWidth="1"/>
    <col min="4174" max="4176" width="9" style="27"/>
    <col min="4177" max="4185" width="9.125" style="27" bestFit="1" customWidth="1"/>
    <col min="4186" max="4186" width="9" style="27"/>
    <col min="4187" max="4187" width="17.875" style="27" customWidth="1"/>
    <col min="4188" max="4188" width="12.875" style="27" customWidth="1"/>
    <col min="4189" max="4380" width="9" style="27"/>
    <col min="4381" max="4381" width="16.75" style="27" customWidth="1"/>
    <col min="4382" max="4382" width="22.875" style="27" customWidth="1"/>
    <col min="4383" max="4383" width="9" style="27"/>
    <col min="4384" max="4384" width="15.25" style="27" customWidth="1"/>
    <col min="4385" max="4385" width="13.875" style="27" customWidth="1"/>
    <col min="4386" max="4388" width="9" style="27"/>
    <col min="4389" max="4389" width="9.375" style="27" bestFit="1" customWidth="1"/>
    <col min="4390" max="4391" width="9" style="27"/>
    <col min="4392" max="4392" width="14" style="27" customWidth="1"/>
    <col min="4393" max="4395" width="9.125" style="27" bestFit="1" customWidth="1"/>
    <col min="4396" max="4396" width="14.125" style="27" customWidth="1"/>
    <col min="4397" max="4397" width="13" style="27" customWidth="1"/>
    <col min="4398" max="4400" width="9.125" style="27" bestFit="1" customWidth="1"/>
    <col min="4401" max="4401" width="9.125" style="27" customWidth="1"/>
    <col min="4402" max="4402" width="16.125" style="27" customWidth="1"/>
    <col min="4403" max="4403" width="13.875" style="27" customWidth="1"/>
    <col min="4404" max="4404" width="10.625" style="27" customWidth="1"/>
    <col min="4405" max="4416" width="9" style="27"/>
    <col min="4417" max="4417" width="12.375" style="27" customWidth="1"/>
    <col min="4418" max="4428" width="9" style="27"/>
    <col min="4429" max="4429" width="13.25" style="27" customWidth="1"/>
    <col min="4430" max="4432" width="9" style="27"/>
    <col min="4433" max="4441" width="9.125" style="27" bestFit="1" customWidth="1"/>
    <col min="4442" max="4442" width="9" style="27"/>
    <col min="4443" max="4443" width="17.875" style="27" customWidth="1"/>
    <col min="4444" max="4444" width="12.875" style="27" customWidth="1"/>
    <col min="4445" max="4636" width="9" style="27"/>
    <col min="4637" max="4637" width="16.75" style="27" customWidth="1"/>
    <col min="4638" max="4638" width="22.875" style="27" customWidth="1"/>
    <col min="4639" max="4639" width="9" style="27"/>
    <col min="4640" max="4640" width="15.25" style="27" customWidth="1"/>
    <col min="4641" max="4641" width="13.875" style="27" customWidth="1"/>
    <col min="4642" max="4644" width="9" style="27"/>
    <col min="4645" max="4645" width="9.375" style="27" bestFit="1" customWidth="1"/>
    <col min="4646" max="4647" width="9" style="27"/>
    <col min="4648" max="4648" width="14" style="27" customWidth="1"/>
    <col min="4649" max="4651" width="9.125" style="27" bestFit="1" customWidth="1"/>
    <col min="4652" max="4652" width="14.125" style="27" customWidth="1"/>
    <col min="4653" max="4653" width="13" style="27" customWidth="1"/>
    <col min="4654" max="4656" width="9.125" style="27" bestFit="1" customWidth="1"/>
    <col min="4657" max="4657" width="9.125" style="27" customWidth="1"/>
    <col min="4658" max="4658" width="16.125" style="27" customWidth="1"/>
    <col min="4659" max="4659" width="13.875" style="27" customWidth="1"/>
    <col min="4660" max="4660" width="10.625" style="27" customWidth="1"/>
    <col min="4661" max="4672" width="9" style="27"/>
    <col min="4673" max="4673" width="12.375" style="27" customWidth="1"/>
    <col min="4674" max="4684" width="9" style="27"/>
    <col min="4685" max="4685" width="13.25" style="27" customWidth="1"/>
    <col min="4686" max="4688" width="9" style="27"/>
    <col min="4689" max="4697" width="9.125" style="27" bestFit="1" customWidth="1"/>
    <col min="4698" max="4698" width="9" style="27"/>
    <col min="4699" max="4699" width="17.875" style="27" customWidth="1"/>
    <col min="4700" max="4700" width="12.875" style="27" customWidth="1"/>
    <col min="4701" max="4892" width="9" style="27"/>
    <col min="4893" max="4893" width="16.75" style="27" customWidth="1"/>
    <col min="4894" max="4894" width="22.875" style="27" customWidth="1"/>
    <col min="4895" max="4895" width="9" style="27"/>
    <col min="4896" max="4896" width="15.25" style="27" customWidth="1"/>
    <col min="4897" max="4897" width="13.875" style="27" customWidth="1"/>
    <col min="4898" max="4900" width="9" style="27"/>
    <col min="4901" max="4901" width="9.375" style="27" bestFit="1" customWidth="1"/>
    <col min="4902" max="4903" width="9" style="27"/>
    <col min="4904" max="4904" width="14" style="27" customWidth="1"/>
    <col min="4905" max="4907" width="9.125" style="27" bestFit="1" customWidth="1"/>
    <col min="4908" max="4908" width="14.125" style="27" customWidth="1"/>
    <col min="4909" max="4909" width="13" style="27" customWidth="1"/>
    <col min="4910" max="4912" width="9.125" style="27" bestFit="1" customWidth="1"/>
    <col min="4913" max="4913" width="9.125" style="27" customWidth="1"/>
    <col min="4914" max="4914" width="16.125" style="27" customWidth="1"/>
    <col min="4915" max="4915" width="13.875" style="27" customWidth="1"/>
    <col min="4916" max="4916" width="10.625" style="27" customWidth="1"/>
    <col min="4917" max="4928" width="9" style="27"/>
    <col min="4929" max="4929" width="12.375" style="27" customWidth="1"/>
    <col min="4930" max="4940" width="9" style="27"/>
    <col min="4941" max="4941" width="13.25" style="27" customWidth="1"/>
    <col min="4942" max="4944" width="9" style="27"/>
    <col min="4945" max="4953" width="9.125" style="27" bestFit="1" customWidth="1"/>
    <col min="4954" max="4954" width="9" style="27"/>
    <col min="4955" max="4955" width="17.875" style="27" customWidth="1"/>
    <col min="4956" max="4956" width="12.875" style="27" customWidth="1"/>
    <col min="4957" max="5148" width="9" style="27"/>
    <col min="5149" max="5149" width="16.75" style="27" customWidth="1"/>
    <col min="5150" max="5150" width="22.875" style="27" customWidth="1"/>
    <col min="5151" max="5151" width="9" style="27"/>
    <col min="5152" max="5152" width="15.25" style="27" customWidth="1"/>
    <col min="5153" max="5153" width="13.875" style="27" customWidth="1"/>
    <col min="5154" max="5156" width="9" style="27"/>
    <col min="5157" max="5157" width="9.375" style="27" bestFit="1" customWidth="1"/>
    <col min="5158" max="5159" width="9" style="27"/>
    <col min="5160" max="5160" width="14" style="27" customWidth="1"/>
    <col min="5161" max="5163" width="9.125" style="27" bestFit="1" customWidth="1"/>
    <col min="5164" max="5164" width="14.125" style="27" customWidth="1"/>
    <col min="5165" max="5165" width="13" style="27" customWidth="1"/>
    <col min="5166" max="5168" width="9.125" style="27" bestFit="1" customWidth="1"/>
    <col min="5169" max="5169" width="9.125" style="27" customWidth="1"/>
    <col min="5170" max="5170" width="16.125" style="27" customWidth="1"/>
    <col min="5171" max="5171" width="13.875" style="27" customWidth="1"/>
    <col min="5172" max="5172" width="10.625" style="27" customWidth="1"/>
    <col min="5173" max="5184" width="9" style="27"/>
    <col min="5185" max="5185" width="12.375" style="27" customWidth="1"/>
    <col min="5186" max="5196" width="9" style="27"/>
    <col min="5197" max="5197" width="13.25" style="27" customWidth="1"/>
    <col min="5198" max="5200" width="9" style="27"/>
    <col min="5201" max="5209" width="9.125" style="27" bestFit="1" customWidth="1"/>
    <col min="5210" max="5210" width="9" style="27"/>
    <col min="5211" max="5211" width="17.875" style="27" customWidth="1"/>
    <col min="5212" max="5212" width="12.875" style="27" customWidth="1"/>
    <col min="5213" max="5404" width="9" style="27"/>
    <col min="5405" max="5405" width="16.75" style="27" customWidth="1"/>
    <col min="5406" max="5406" width="22.875" style="27" customWidth="1"/>
    <col min="5407" max="5407" width="9" style="27"/>
    <col min="5408" max="5408" width="15.25" style="27" customWidth="1"/>
    <col min="5409" max="5409" width="13.875" style="27" customWidth="1"/>
    <col min="5410" max="5412" width="9" style="27"/>
    <col min="5413" max="5413" width="9.375" style="27" bestFit="1" customWidth="1"/>
    <col min="5414" max="5415" width="9" style="27"/>
    <col min="5416" max="5416" width="14" style="27" customWidth="1"/>
    <col min="5417" max="5419" width="9.125" style="27" bestFit="1" customWidth="1"/>
    <col min="5420" max="5420" width="14.125" style="27" customWidth="1"/>
    <col min="5421" max="5421" width="13" style="27" customWidth="1"/>
    <col min="5422" max="5424" width="9.125" style="27" bestFit="1" customWidth="1"/>
    <col min="5425" max="5425" width="9.125" style="27" customWidth="1"/>
    <col min="5426" max="5426" width="16.125" style="27" customWidth="1"/>
    <col min="5427" max="5427" width="13.875" style="27" customWidth="1"/>
    <col min="5428" max="5428" width="10.625" style="27" customWidth="1"/>
    <col min="5429" max="5440" width="9" style="27"/>
    <col min="5441" max="5441" width="12.375" style="27" customWidth="1"/>
    <col min="5442" max="5452" width="9" style="27"/>
    <col min="5453" max="5453" width="13.25" style="27" customWidth="1"/>
    <col min="5454" max="5456" width="9" style="27"/>
    <col min="5457" max="5465" width="9.125" style="27" bestFit="1" customWidth="1"/>
    <col min="5466" max="5466" width="9" style="27"/>
    <col min="5467" max="5467" width="17.875" style="27" customWidth="1"/>
    <col min="5468" max="5468" width="12.875" style="27" customWidth="1"/>
    <col min="5469" max="5660" width="9" style="27"/>
    <col min="5661" max="5661" width="16.75" style="27" customWidth="1"/>
    <col min="5662" max="5662" width="22.875" style="27" customWidth="1"/>
    <col min="5663" max="5663" width="9" style="27"/>
    <col min="5664" max="5664" width="15.25" style="27" customWidth="1"/>
    <col min="5665" max="5665" width="13.875" style="27" customWidth="1"/>
    <col min="5666" max="5668" width="9" style="27"/>
    <col min="5669" max="5669" width="9.375" style="27" bestFit="1" customWidth="1"/>
    <col min="5670" max="5671" width="9" style="27"/>
    <col min="5672" max="5672" width="14" style="27" customWidth="1"/>
    <col min="5673" max="5675" width="9.125" style="27" bestFit="1" customWidth="1"/>
    <col min="5676" max="5676" width="14.125" style="27" customWidth="1"/>
    <col min="5677" max="5677" width="13" style="27" customWidth="1"/>
    <col min="5678" max="5680" width="9.125" style="27" bestFit="1" customWidth="1"/>
    <col min="5681" max="5681" width="9.125" style="27" customWidth="1"/>
    <col min="5682" max="5682" width="16.125" style="27" customWidth="1"/>
    <col min="5683" max="5683" width="13.875" style="27" customWidth="1"/>
    <col min="5684" max="5684" width="10.625" style="27" customWidth="1"/>
    <col min="5685" max="5696" width="9" style="27"/>
    <col min="5697" max="5697" width="12.375" style="27" customWidth="1"/>
    <col min="5698" max="5708" width="9" style="27"/>
    <col min="5709" max="5709" width="13.25" style="27" customWidth="1"/>
    <col min="5710" max="5712" width="9" style="27"/>
    <col min="5713" max="5721" width="9.125" style="27" bestFit="1" customWidth="1"/>
    <col min="5722" max="5722" width="9" style="27"/>
    <col min="5723" max="5723" width="17.875" style="27" customWidth="1"/>
    <col min="5724" max="5724" width="12.875" style="27" customWidth="1"/>
    <col min="5725" max="5916" width="9" style="27"/>
    <col min="5917" max="5917" width="16.75" style="27" customWidth="1"/>
    <col min="5918" max="5918" width="22.875" style="27" customWidth="1"/>
    <col min="5919" max="5919" width="9" style="27"/>
    <col min="5920" max="5920" width="15.25" style="27" customWidth="1"/>
    <col min="5921" max="5921" width="13.875" style="27" customWidth="1"/>
    <col min="5922" max="5924" width="9" style="27"/>
    <col min="5925" max="5925" width="9.375" style="27" bestFit="1" customWidth="1"/>
    <col min="5926" max="5927" width="9" style="27"/>
    <col min="5928" max="5928" width="14" style="27" customWidth="1"/>
    <col min="5929" max="5931" width="9.125" style="27" bestFit="1" customWidth="1"/>
    <col min="5932" max="5932" width="14.125" style="27" customWidth="1"/>
    <col min="5933" max="5933" width="13" style="27" customWidth="1"/>
    <col min="5934" max="5936" width="9.125" style="27" bestFit="1" customWidth="1"/>
    <col min="5937" max="5937" width="9.125" style="27" customWidth="1"/>
    <col min="5938" max="5938" width="16.125" style="27" customWidth="1"/>
    <col min="5939" max="5939" width="13.875" style="27" customWidth="1"/>
    <col min="5940" max="5940" width="10.625" style="27" customWidth="1"/>
    <col min="5941" max="5952" width="9" style="27"/>
    <col min="5953" max="5953" width="12.375" style="27" customWidth="1"/>
    <col min="5954" max="5964" width="9" style="27"/>
    <col min="5965" max="5965" width="13.25" style="27" customWidth="1"/>
    <col min="5966" max="5968" width="9" style="27"/>
    <col min="5969" max="5977" width="9.125" style="27" bestFit="1" customWidth="1"/>
    <col min="5978" max="5978" width="9" style="27"/>
    <col min="5979" max="5979" width="17.875" style="27" customWidth="1"/>
    <col min="5980" max="5980" width="12.875" style="27" customWidth="1"/>
    <col min="5981" max="6172" width="9" style="27"/>
    <col min="6173" max="6173" width="16.75" style="27" customWidth="1"/>
    <col min="6174" max="6174" width="22.875" style="27" customWidth="1"/>
    <col min="6175" max="6175" width="9" style="27"/>
    <col min="6176" max="6176" width="15.25" style="27" customWidth="1"/>
    <col min="6177" max="6177" width="13.875" style="27" customWidth="1"/>
    <col min="6178" max="6180" width="9" style="27"/>
    <col min="6181" max="6181" width="9.375" style="27" bestFit="1" customWidth="1"/>
    <col min="6182" max="6183" width="9" style="27"/>
    <col min="6184" max="6184" width="14" style="27" customWidth="1"/>
    <col min="6185" max="6187" width="9.125" style="27" bestFit="1" customWidth="1"/>
    <col min="6188" max="6188" width="14.125" style="27" customWidth="1"/>
    <col min="6189" max="6189" width="13" style="27" customWidth="1"/>
    <col min="6190" max="6192" width="9.125" style="27" bestFit="1" customWidth="1"/>
    <col min="6193" max="6193" width="9.125" style="27" customWidth="1"/>
    <col min="6194" max="6194" width="16.125" style="27" customWidth="1"/>
    <col min="6195" max="6195" width="13.875" style="27" customWidth="1"/>
    <col min="6196" max="6196" width="10.625" style="27" customWidth="1"/>
    <col min="6197" max="6208" width="9" style="27"/>
    <col min="6209" max="6209" width="12.375" style="27" customWidth="1"/>
    <col min="6210" max="6220" width="9" style="27"/>
    <col min="6221" max="6221" width="13.25" style="27" customWidth="1"/>
    <col min="6222" max="6224" width="9" style="27"/>
    <col min="6225" max="6233" width="9.125" style="27" bestFit="1" customWidth="1"/>
    <col min="6234" max="6234" width="9" style="27"/>
    <col min="6235" max="6235" width="17.875" style="27" customWidth="1"/>
    <col min="6236" max="6236" width="12.875" style="27" customWidth="1"/>
    <col min="6237" max="6428" width="9" style="27"/>
    <col min="6429" max="6429" width="16.75" style="27" customWidth="1"/>
    <col min="6430" max="6430" width="22.875" style="27" customWidth="1"/>
    <col min="6431" max="6431" width="9" style="27"/>
    <col min="6432" max="6432" width="15.25" style="27" customWidth="1"/>
    <col min="6433" max="6433" width="13.875" style="27" customWidth="1"/>
    <col min="6434" max="6436" width="9" style="27"/>
    <col min="6437" max="6437" width="9.375" style="27" bestFit="1" customWidth="1"/>
    <col min="6438" max="6439" width="9" style="27"/>
    <col min="6440" max="6440" width="14" style="27" customWidth="1"/>
    <col min="6441" max="6443" width="9.125" style="27" bestFit="1" customWidth="1"/>
    <col min="6444" max="6444" width="14.125" style="27" customWidth="1"/>
    <col min="6445" max="6445" width="13" style="27" customWidth="1"/>
    <col min="6446" max="6448" width="9.125" style="27" bestFit="1" customWidth="1"/>
    <col min="6449" max="6449" width="9.125" style="27" customWidth="1"/>
    <col min="6450" max="6450" width="16.125" style="27" customWidth="1"/>
    <col min="6451" max="6451" width="13.875" style="27" customWidth="1"/>
    <col min="6452" max="6452" width="10.625" style="27" customWidth="1"/>
    <col min="6453" max="6464" width="9" style="27"/>
    <col min="6465" max="6465" width="12.375" style="27" customWidth="1"/>
    <col min="6466" max="6476" width="9" style="27"/>
    <col min="6477" max="6477" width="13.25" style="27" customWidth="1"/>
    <col min="6478" max="6480" width="9" style="27"/>
    <col min="6481" max="6489" width="9.125" style="27" bestFit="1" customWidth="1"/>
    <col min="6490" max="6490" width="9" style="27"/>
    <col min="6491" max="6491" width="17.875" style="27" customWidth="1"/>
    <col min="6492" max="6492" width="12.875" style="27" customWidth="1"/>
    <col min="6493" max="6684" width="9" style="27"/>
    <col min="6685" max="6685" width="16.75" style="27" customWidth="1"/>
    <col min="6686" max="6686" width="22.875" style="27" customWidth="1"/>
    <col min="6687" max="6687" width="9" style="27"/>
    <col min="6688" max="6688" width="15.25" style="27" customWidth="1"/>
    <col min="6689" max="6689" width="13.875" style="27" customWidth="1"/>
    <col min="6690" max="6692" width="9" style="27"/>
    <col min="6693" max="6693" width="9.375" style="27" bestFit="1" customWidth="1"/>
    <col min="6694" max="6695" width="9" style="27"/>
    <col min="6696" max="6696" width="14" style="27" customWidth="1"/>
    <col min="6697" max="6699" width="9.125" style="27" bestFit="1" customWidth="1"/>
    <col min="6700" max="6700" width="14.125" style="27" customWidth="1"/>
    <col min="6701" max="6701" width="13" style="27" customWidth="1"/>
    <col min="6702" max="6704" width="9.125" style="27" bestFit="1" customWidth="1"/>
    <col min="6705" max="6705" width="9.125" style="27" customWidth="1"/>
    <col min="6706" max="6706" width="16.125" style="27" customWidth="1"/>
    <col min="6707" max="6707" width="13.875" style="27" customWidth="1"/>
    <col min="6708" max="6708" width="10.625" style="27" customWidth="1"/>
    <col min="6709" max="6720" width="9" style="27"/>
    <col min="6721" max="6721" width="12.375" style="27" customWidth="1"/>
    <col min="6722" max="6732" width="9" style="27"/>
    <col min="6733" max="6733" width="13.25" style="27" customWidth="1"/>
    <col min="6734" max="6736" width="9" style="27"/>
    <col min="6737" max="6745" width="9.125" style="27" bestFit="1" customWidth="1"/>
    <col min="6746" max="6746" width="9" style="27"/>
    <col min="6747" max="6747" width="17.875" style="27" customWidth="1"/>
    <col min="6748" max="6748" width="12.875" style="27" customWidth="1"/>
    <col min="6749" max="6940" width="9" style="27"/>
    <col min="6941" max="6941" width="16.75" style="27" customWidth="1"/>
    <col min="6942" max="6942" width="22.875" style="27" customWidth="1"/>
    <col min="6943" max="6943" width="9" style="27"/>
    <col min="6944" max="6944" width="15.25" style="27" customWidth="1"/>
    <col min="6945" max="6945" width="13.875" style="27" customWidth="1"/>
    <col min="6946" max="6948" width="9" style="27"/>
    <col min="6949" max="6949" width="9.375" style="27" bestFit="1" customWidth="1"/>
    <col min="6950" max="6951" width="9" style="27"/>
    <col min="6952" max="6952" width="14" style="27" customWidth="1"/>
    <col min="6953" max="6955" width="9.125" style="27" bestFit="1" customWidth="1"/>
    <col min="6956" max="6956" width="14.125" style="27" customWidth="1"/>
    <col min="6957" max="6957" width="13" style="27" customWidth="1"/>
    <col min="6958" max="6960" width="9.125" style="27" bestFit="1" customWidth="1"/>
    <col min="6961" max="6961" width="9.125" style="27" customWidth="1"/>
    <col min="6962" max="6962" width="16.125" style="27" customWidth="1"/>
    <col min="6963" max="6963" width="13.875" style="27" customWidth="1"/>
    <col min="6964" max="6964" width="10.625" style="27" customWidth="1"/>
    <col min="6965" max="6976" width="9" style="27"/>
    <col min="6977" max="6977" width="12.375" style="27" customWidth="1"/>
    <col min="6978" max="6988" width="9" style="27"/>
    <col min="6989" max="6989" width="13.25" style="27" customWidth="1"/>
    <col min="6990" max="6992" width="9" style="27"/>
    <col min="6993" max="7001" width="9.125" style="27" bestFit="1" customWidth="1"/>
    <col min="7002" max="7002" width="9" style="27"/>
    <col min="7003" max="7003" width="17.875" style="27" customWidth="1"/>
    <col min="7004" max="7004" width="12.875" style="27" customWidth="1"/>
    <col min="7005" max="7196" width="9" style="27"/>
    <col min="7197" max="7197" width="16.75" style="27" customWidth="1"/>
    <col min="7198" max="7198" width="22.875" style="27" customWidth="1"/>
    <col min="7199" max="7199" width="9" style="27"/>
    <col min="7200" max="7200" width="15.25" style="27" customWidth="1"/>
    <col min="7201" max="7201" width="13.875" style="27" customWidth="1"/>
    <col min="7202" max="7204" width="9" style="27"/>
    <col min="7205" max="7205" width="9.375" style="27" bestFit="1" customWidth="1"/>
    <col min="7206" max="7207" width="9" style="27"/>
    <col min="7208" max="7208" width="14" style="27" customWidth="1"/>
    <col min="7209" max="7211" width="9.125" style="27" bestFit="1" customWidth="1"/>
    <col min="7212" max="7212" width="14.125" style="27" customWidth="1"/>
    <col min="7213" max="7213" width="13" style="27" customWidth="1"/>
    <col min="7214" max="7216" width="9.125" style="27" bestFit="1" customWidth="1"/>
    <col min="7217" max="7217" width="9.125" style="27" customWidth="1"/>
    <col min="7218" max="7218" width="16.125" style="27" customWidth="1"/>
    <col min="7219" max="7219" width="13.875" style="27" customWidth="1"/>
    <col min="7220" max="7220" width="10.625" style="27" customWidth="1"/>
    <col min="7221" max="7232" width="9" style="27"/>
    <col min="7233" max="7233" width="12.375" style="27" customWidth="1"/>
    <col min="7234" max="7244" width="9" style="27"/>
    <col min="7245" max="7245" width="13.25" style="27" customWidth="1"/>
    <col min="7246" max="7248" width="9" style="27"/>
    <col min="7249" max="7257" width="9.125" style="27" bestFit="1" customWidth="1"/>
    <col min="7258" max="7258" width="9" style="27"/>
    <col min="7259" max="7259" width="17.875" style="27" customWidth="1"/>
    <col min="7260" max="7260" width="12.875" style="27" customWidth="1"/>
    <col min="7261" max="7452" width="9" style="27"/>
    <col min="7453" max="7453" width="16.75" style="27" customWidth="1"/>
    <col min="7454" max="7454" width="22.875" style="27" customWidth="1"/>
    <col min="7455" max="7455" width="9" style="27"/>
    <col min="7456" max="7456" width="15.25" style="27" customWidth="1"/>
    <col min="7457" max="7457" width="13.875" style="27" customWidth="1"/>
    <col min="7458" max="7460" width="9" style="27"/>
    <col min="7461" max="7461" width="9.375" style="27" bestFit="1" customWidth="1"/>
    <col min="7462" max="7463" width="9" style="27"/>
    <col min="7464" max="7464" width="14" style="27" customWidth="1"/>
    <col min="7465" max="7467" width="9.125" style="27" bestFit="1" customWidth="1"/>
    <col min="7468" max="7468" width="14.125" style="27" customWidth="1"/>
    <col min="7469" max="7469" width="13" style="27" customWidth="1"/>
    <col min="7470" max="7472" width="9.125" style="27" bestFit="1" customWidth="1"/>
    <col min="7473" max="7473" width="9.125" style="27" customWidth="1"/>
    <col min="7474" max="7474" width="16.125" style="27" customWidth="1"/>
    <col min="7475" max="7475" width="13.875" style="27" customWidth="1"/>
    <col min="7476" max="7476" width="10.625" style="27" customWidth="1"/>
    <col min="7477" max="7488" width="9" style="27"/>
    <col min="7489" max="7489" width="12.375" style="27" customWidth="1"/>
    <col min="7490" max="7500" width="9" style="27"/>
    <col min="7501" max="7501" width="13.25" style="27" customWidth="1"/>
    <col min="7502" max="7504" width="9" style="27"/>
    <col min="7505" max="7513" width="9.125" style="27" bestFit="1" customWidth="1"/>
    <col min="7514" max="7514" width="9" style="27"/>
    <col min="7515" max="7515" width="17.875" style="27" customWidth="1"/>
    <col min="7516" max="7516" width="12.875" style="27" customWidth="1"/>
    <col min="7517" max="7708" width="9" style="27"/>
    <col min="7709" max="7709" width="16.75" style="27" customWidth="1"/>
    <col min="7710" max="7710" width="22.875" style="27" customWidth="1"/>
    <col min="7711" max="7711" width="9" style="27"/>
    <col min="7712" max="7712" width="15.25" style="27" customWidth="1"/>
    <col min="7713" max="7713" width="13.875" style="27" customWidth="1"/>
    <col min="7714" max="7716" width="9" style="27"/>
    <col min="7717" max="7717" width="9.375" style="27" bestFit="1" customWidth="1"/>
    <col min="7718" max="7719" width="9" style="27"/>
    <col min="7720" max="7720" width="14" style="27" customWidth="1"/>
    <col min="7721" max="7723" width="9.125" style="27" bestFit="1" customWidth="1"/>
    <col min="7724" max="7724" width="14.125" style="27" customWidth="1"/>
    <col min="7725" max="7725" width="13" style="27" customWidth="1"/>
    <col min="7726" max="7728" width="9.125" style="27" bestFit="1" customWidth="1"/>
    <col min="7729" max="7729" width="9.125" style="27" customWidth="1"/>
    <col min="7730" max="7730" width="16.125" style="27" customWidth="1"/>
    <col min="7731" max="7731" width="13.875" style="27" customWidth="1"/>
    <col min="7732" max="7732" width="10.625" style="27" customWidth="1"/>
    <col min="7733" max="7744" width="9" style="27"/>
    <col min="7745" max="7745" width="12.375" style="27" customWidth="1"/>
    <col min="7746" max="7756" width="9" style="27"/>
    <col min="7757" max="7757" width="13.25" style="27" customWidth="1"/>
    <col min="7758" max="7760" width="9" style="27"/>
    <col min="7761" max="7769" width="9.125" style="27" bestFit="1" customWidth="1"/>
    <col min="7770" max="7770" width="9" style="27"/>
    <col min="7771" max="7771" width="17.875" style="27" customWidth="1"/>
    <col min="7772" max="7772" width="12.875" style="27" customWidth="1"/>
    <col min="7773" max="7964" width="9" style="27"/>
    <col min="7965" max="7965" width="16.75" style="27" customWidth="1"/>
    <col min="7966" max="7966" width="22.875" style="27" customWidth="1"/>
    <col min="7967" max="7967" width="9" style="27"/>
    <col min="7968" max="7968" width="15.25" style="27" customWidth="1"/>
    <col min="7969" max="7969" width="13.875" style="27" customWidth="1"/>
    <col min="7970" max="7972" width="9" style="27"/>
    <col min="7973" max="7973" width="9.375" style="27" bestFit="1" customWidth="1"/>
    <col min="7974" max="7975" width="9" style="27"/>
    <col min="7976" max="7976" width="14" style="27" customWidth="1"/>
    <col min="7977" max="7979" width="9.125" style="27" bestFit="1" customWidth="1"/>
    <col min="7980" max="7980" width="14.125" style="27" customWidth="1"/>
    <col min="7981" max="7981" width="13" style="27" customWidth="1"/>
    <col min="7982" max="7984" width="9.125" style="27" bestFit="1" customWidth="1"/>
    <col min="7985" max="7985" width="9.125" style="27" customWidth="1"/>
    <col min="7986" max="7986" width="16.125" style="27" customWidth="1"/>
    <col min="7987" max="7987" width="13.875" style="27" customWidth="1"/>
    <col min="7988" max="7988" width="10.625" style="27" customWidth="1"/>
    <col min="7989" max="8000" width="9" style="27"/>
    <col min="8001" max="8001" width="12.375" style="27" customWidth="1"/>
    <col min="8002" max="8012" width="9" style="27"/>
    <col min="8013" max="8013" width="13.25" style="27" customWidth="1"/>
    <col min="8014" max="8016" width="9" style="27"/>
    <col min="8017" max="8025" width="9.125" style="27" bestFit="1" customWidth="1"/>
    <col min="8026" max="8026" width="9" style="27"/>
    <col min="8027" max="8027" width="17.875" style="27" customWidth="1"/>
    <col min="8028" max="8028" width="12.875" style="27" customWidth="1"/>
    <col min="8029" max="8220" width="9" style="27"/>
    <col min="8221" max="8221" width="16.75" style="27" customWidth="1"/>
    <col min="8222" max="8222" width="22.875" style="27" customWidth="1"/>
    <col min="8223" max="8223" width="9" style="27"/>
    <col min="8224" max="8224" width="15.25" style="27" customWidth="1"/>
    <col min="8225" max="8225" width="13.875" style="27" customWidth="1"/>
    <col min="8226" max="8228" width="9" style="27"/>
    <col min="8229" max="8229" width="9.375" style="27" bestFit="1" customWidth="1"/>
    <col min="8230" max="8231" width="9" style="27"/>
    <col min="8232" max="8232" width="14" style="27" customWidth="1"/>
    <col min="8233" max="8235" width="9.125" style="27" bestFit="1" customWidth="1"/>
    <col min="8236" max="8236" width="14.125" style="27" customWidth="1"/>
    <col min="8237" max="8237" width="13" style="27" customWidth="1"/>
    <col min="8238" max="8240" width="9.125" style="27" bestFit="1" customWidth="1"/>
    <col min="8241" max="8241" width="9.125" style="27" customWidth="1"/>
    <col min="8242" max="8242" width="16.125" style="27" customWidth="1"/>
    <col min="8243" max="8243" width="13.875" style="27" customWidth="1"/>
    <col min="8244" max="8244" width="10.625" style="27" customWidth="1"/>
    <col min="8245" max="8256" width="9" style="27"/>
    <col min="8257" max="8257" width="12.375" style="27" customWidth="1"/>
    <col min="8258" max="8268" width="9" style="27"/>
    <col min="8269" max="8269" width="13.25" style="27" customWidth="1"/>
    <col min="8270" max="8272" width="9" style="27"/>
    <col min="8273" max="8281" width="9.125" style="27" bestFit="1" customWidth="1"/>
    <col min="8282" max="8282" width="9" style="27"/>
    <col min="8283" max="8283" width="17.875" style="27" customWidth="1"/>
    <col min="8284" max="8284" width="12.875" style="27" customWidth="1"/>
    <col min="8285" max="8476" width="9" style="27"/>
    <col min="8477" max="8477" width="16.75" style="27" customWidth="1"/>
    <col min="8478" max="8478" width="22.875" style="27" customWidth="1"/>
    <col min="8479" max="8479" width="9" style="27"/>
    <col min="8480" max="8480" width="15.25" style="27" customWidth="1"/>
    <col min="8481" max="8481" width="13.875" style="27" customWidth="1"/>
    <col min="8482" max="8484" width="9" style="27"/>
    <col min="8485" max="8485" width="9.375" style="27" bestFit="1" customWidth="1"/>
    <col min="8486" max="8487" width="9" style="27"/>
    <col min="8488" max="8488" width="14" style="27" customWidth="1"/>
    <col min="8489" max="8491" width="9.125" style="27" bestFit="1" customWidth="1"/>
    <col min="8492" max="8492" width="14.125" style="27" customWidth="1"/>
    <col min="8493" max="8493" width="13" style="27" customWidth="1"/>
    <col min="8494" max="8496" width="9.125" style="27" bestFit="1" customWidth="1"/>
    <col min="8497" max="8497" width="9.125" style="27" customWidth="1"/>
    <col min="8498" max="8498" width="16.125" style="27" customWidth="1"/>
    <col min="8499" max="8499" width="13.875" style="27" customWidth="1"/>
    <col min="8500" max="8500" width="10.625" style="27" customWidth="1"/>
    <col min="8501" max="8512" width="9" style="27"/>
    <col min="8513" max="8513" width="12.375" style="27" customWidth="1"/>
    <col min="8514" max="8524" width="9" style="27"/>
    <col min="8525" max="8525" width="13.25" style="27" customWidth="1"/>
    <col min="8526" max="8528" width="9" style="27"/>
    <col min="8529" max="8537" width="9.125" style="27" bestFit="1" customWidth="1"/>
    <col min="8538" max="8538" width="9" style="27"/>
    <col min="8539" max="8539" width="17.875" style="27" customWidth="1"/>
    <col min="8540" max="8540" width="12.875" style="27" customWidth="1"/>
    <col min="8541" max="8732" width="9" style="27"/>
    <col min="8733" max="8733" width="16.75" style="27" customWidth="1"/>
    <col min="8734" max="8734" width="22.875" style="27" customWidth="1"/>
    <col min="8735" max="8735" width="9" style="27"/>
    <col min="8736" max="8736" width="15.25" style="27" customWidth="1"/>
    <col min="8737" max="8737" width="13.875" style="27" customWidth="1"/>
    <col min="8738" max="8740" width="9" style="27"/>
    <col min="8741" max="8741" width="9.375" style="27" bestFit="1" customWidth="1"/>
    <col min="8742" max="8743" width="9" style="27"/>
    <col min="8744" max="8744" width="14" style="27" customWidth="1"/>
    <col min="8745" max="8747" width="9.125" style="27" bestFit="1" customWidth="1"/>
    <col min="8748" max="8748" width="14.125" style="27" customWidth="1"/>
    <col min="8749" max="8749" width="13" style="27" customWidth="1"/>
    <col min="8750" max="8752" width="9.125" style="27" bestFit="1" customWidth="1"/>
    <col min="8753" max="8753" width="9.125" style="27" customWidth="1"/>
    <col min="8754" max="8754" width="16.125" style="27" customWidth="1"/>
    <col min="8755" max="8755" width="13.875" style="27" customWidth="1"/>
    <col min="8756" max="8756" width="10.625" style="27" customWidth="1"/>
    <col min="8757" max="8768" width="9" style="27"/>
    <col min="8769" max="8769" width="12.375" style="27" customWidth="1"/>
    <col min="8770" max="8780" width="9" style="27"/>
    <col min="8781" max="8781" width="13.25" style="27" customWidth="1"/>
    <col min="8782" max="8784" width="9" style="27"/>
    <col min="8785" max="8793" width="9.125" style="27" bestFit="1" customWidth="1"/>
    <col min="8794" max="8794" width="9" style="27"/>
    <col min="8795" max="8795" width="17.875" style="27" customWidth="1"/>
    <col min="8796" max="8796" width="12.875" style="27" customWidth="1"/>
    <col min="8797" max="8988" width="9" style="27"/>
    <col min="8989" max="8989" width="16.75" style="27" customWidth="1"/>
    <col min="8990" max="8990" width="22.875" style="27" customWidth="1"/>
    <col min="8991" max="8991" width="9" style="27"/>
    <col min="8992" max="8992" width="15.25" style="27" customWidth="1"/>
    <col min="8993" max="8993" width="13.875" style="27" customWidth="1"/>
    <col min="8994" max="8996" width="9" style="27"/>
    <col min="8997" max="8997" width="9.375" style="27" bestFit="1" customWidth="1"/>
    <col min="8998" max="8999" width="9" style="27"/>
    <col min="9000" max="9000" width="14" style="27" customWidth="1"/>
    <col min="9001" max="9003" width="9.125" style="27" bestFit="1" customWidth="1"/>
    <col min="9004" max="9004" width="14.125" style="27" customWidth="1"/>
    <col min="9005" max="9005" width="13" style="27" customWidth="1"/>
    <col min="9006" max="9008" width="9.125" style="27" bestFit="1" customWidth="1"/>
    <col min="9009" max="9009" width="9.125" style="27" customWidth="1"/>
    <col min="9010" max="9010" width="16.125" style="27" customWidth="1"/>
    <col min="9011" max="9011" width="13.875" style="27" customWidth="1"/>
    <col min="9012" max="9012" width="10.625" style="27" customWidth="1"/>
    <col min="9013" max="9024" width="9" style="27"/>
    <col min="9025" max="9025" width="12.375" style="27" customWidth="1"/>
    <col min="9026" max="9036" width="9" style="27"/>
    <col min="9037" max="9037" width="13.25" style="27" customWidth="1"/>
    <col min="9038" max="9040" width="9" style="27"/>
    <col min="9041" max="9049" width="9.125" style="27" bestFit="1" customWidth="1"/>
    <col min="9050" max="9050" width="9" style="27"/>
    <col min="9051" max="9051" width="17.875" style="27" customWidth="1"/>
    <col min="9052" max="9052" width="12.875" style="27" customWidth="1"/>
    <col min="9053" max="9244" width="9" style="27"/>
    <col min="9245" max="9245" width="16.75" style="27" customWidth="1"/>
    <col min="9246" max="9246" width="22.875" style="27" customWidth="1"/>
    <col min="9247" max="9247" width="9" style="27"/>
    <col min="9248" max="9248" width="15.25" style="27" customWidth="1"/>
    <col min="9249" max="9249" width="13.875" style="27" customWidth="1"/>
    <col min="9250" max="9252" width="9" style="27"/>
    <col min="9253" max="9253" width="9.375" style="27" bestFit="1" customWidth="1"/>
    <col min="9254" max="9255" width="9" style="27"/>
    <col min="9256" max="9256" width="14" style="27" customWidth="1"/>
    <col min="9257" max="9259" width="9.125" style="27" bestFit="1" customWidth="1"/>
    <col min="9260" max="9260" width="14.125" style="27" customWidth="1"/>
    <col min="9261" max="9261" width="13" style="27" customWidth="1"/>
    <col min="9262" max="9264" width="9.125" style="27" bestFit="1" customWidth="1"/>
    <col min="9265" max="9265" width="9.125" style="27" customWidth="1"/>
    <col min="9266" max="9266" width="16.125" style="27" customWidth="1"/>
    <col min="9267" max="9267" width="13.875" style="27" customWidth="1"/>
    <col min="9268" max="9268" width="10.625" style="27" customWidth="1"/>
    <col min="9269" max="9280" width="9" style="27"/>
    <col min="9281" max="9281" width="12.375" style="27" customWidth="1"/>
    <col min="9282" max="9292" width="9" style="27"/>
    <col min="9293" max="9293" width="13.25" style="27" customWidth="1"/>
    <col min="9294" max="9296" width="9" style="27"/>
    <col min="9297" max="9305" width="9.125" style="27" bestFit="1" customWidth="1"/>
    <col min="9306" max="9306" width="9" style="27"/>
    <col min="9307" max="9307" width="17.875" style="27" customWidth="1"/>
    <col min="9308" max="9308" width="12.875" style="27" customWidth="1"/>
    <col min="9309" max="9500" width="9" style="27"/>
    <col min="9501" max="9501" width="16.75" style="27" customWidth="1"/>
    <col min="9502" max="9502" width="22.875" style="27" customWidth="1"/>
    <col min="9503" max="9503" width="9" style="27"/>
    <col min="9504" max="9504" width="15.25" style="27" customWidth="1"/>
    <col min="9505" max="9505" width="13.875" style="27" customWidth="1"/>
    <col min="9506" max="9508" width="9" style="27"/>
    <col min="9509" max="9509" width="9.375" style="27" bestFit="1" customWidth="1"/>
    <col min="9510" max="9511" width="9" style="27"/>
    <col min="9512" max="9512" width="14" style="27" customWidth="1"/>
    <col min="9513" max="9515" width="9.125" style="27" bestFit="1" customWidth="1"/>
    <col min="9516" max="9516" width="14.125" style="27" customWidth="1"/>
    <col min="9517" max="9517" width="13" style="27" customWidth="1"/>
    <col min="9518" max="9520" width="9.125" style="27" bestFit="1" customWidth="1"/>
    <col min="9521" max="9521" width="9.125" style="27" customWidth="1"/>
    <col min="9522" max="9522" width="16.125" style="27" customWidth="1"/>
    <col min="9523" max="9523" width="13.875" style="27" customWidth="1"/>
    <col min="9524" max="9524" width="10.625" style="27" customWidth="1"/>
    <col min="9525" max="9536" width="9" style="27"/>
    <col min="9537" max="9537" width="12.375" style="27" customWidth="1"/>
    <col min="9538" max="9548" width="9" style="27"/>
    <col min="9549" max="9549" width="13.25" style="27" customWidth="1"/>
    <col min="9550" max="9552" width="9" style="27"/>
    <col min="9553" max="9561" width="9.125" style="27" bestFit="1" customWidth="1"/>
    <col min="9562" max="9562" width="9" style="27"/>
    <col min="9563" max="9563" width="17.875" style="27" customWidth="1"/>
    <col min="9564" max="9564" width="12.875" style="27" customWidth="1"/>
    <col min="9565" max="9756" width="9" style="27"/>
    <col min="9757" max="9757" width="16.75" style="27" customWidth="1"/>
    <col min="9758" max="9758" width="22.875" style="27" customWidth="1"/>
    <col min="9759" max="9759" width="9" style="27"/>
    <col min="9760" max="9760" width="15.25" style="27" customWidth="1"/>
    <col min="9761" max="9761" width="13.875" style="27" customWidth="1"/>
    <col min="9762" max="9764" width="9" style="27"/>
    <col min="9765" max="9765" width="9.375" style="27" bestFit="1" customWidth="1"/>
    <col min="9766" max="9767" width="9" style="27"/>
    <col min="9768" max="9768" width="14" style="27" customWidth="1"/>
    <col min="9769" max="9771" width="9.125" style="27" bestFit="1" customWidth="1"/>
    <col min="9772" max="9772" width="14.125" style="27" customWidth="1"/>
    <col min="9773" max="9773" width="13" style="27" customWidth="1"/>
    <col min="9774" max="9776" width="9.125" style="27" bestFit="1" customWidth="1"/>
    <col min="9777" max="9777" width="9.125" style="27" customWidth="1"/>
    <col min="9778" max="9778" width="16.125" style="27" customWidth="1"/>
    <col min="9779" max="9779" width="13.875" style="27" customWidth="1"/>
    <col min="9780" max="9780" width="10.625" style="27" customWidth="1"/>
    <col min="9781" max="9792" width="9" style="27"/>
    <col min="9793" max="9793" width="12.375" style="27" customWidth="1"/>
    <col min="9794" max="9804" width="9" style="27"/>
    <col min="9805" max="9805" width="13.25" style="27" customWidth="1"/>
    <col min="9806" max="9808" width="9" style="27"/>
    <col min="9809" max="9817" width="9.125" style="27" bestFit="1" customWidth="1"/>
    <col min="9818" max="9818" width="9" style="27"/>
    <col min="9819" max="9819" width="17.875" style="27" customWidth="1"/>
    <col min="9820" max="9820" width="12.875" style="27" customWidth="1"/>
    <col min="9821" max="10012" width="9" style="27"/>
    <col min="10013" max="10013" width="16.75" style="27" customWidth="1"/>
    <col min="10014" max="10014" width="22.875" style="27" customWidth="1"/>
    <col min="10015" max="10015" width="9" style="27"/>
    <col min="10016" max="10016" width="15.25" style="27" customWidth="1"/>
    <col min="10017" max="10017" width="13.875" style="27" customWidth="1"/>
    <col min="10018" max="10020" width="9" style="27"/>
    <col min="10021" max="10021" width="9.375" style="27" bestFit="1" customWidth="1"/>
    <col min="10022" max="10023" width="9" style="27"/>
    <col min="10024" max="10024" width="14" style="27" customWidth="1"/>
    <col min="10025" max="10027" width="9.125" style="27" bestFit="1" customWidth="1"/>
    <col min="10028" max="10028" width="14.125" style="27" customWidth="1"/>
    <col min="10029" max="10029" width="13" style="27" customWidth="1"/>
    <col min="10030" max="10032" width="9.125" style="27" bestFit="1" customWidth="1"/>
    <col min="10033" max="10033" width="9.125" style="27" customWidth="1"/>
    <col min="10034" max="10034" width="16.125" style="27" customWidth="1"/>
    <col min="10035" max="10035" width="13.875" style="27" customWidth="1"/>
    <col min="10036" max="10036" width="10.625" style="27" customWidth="1"/>
    <col min="10037" max="10048" width="9" style="27"/>
    <col min="10049" max="10049" width="12.375" style="27" customWidth="1"/>
    <col min="10050" max="10060" width="9" style="27"/>
    <col min="10061" max="10061" width="13.25" style="27" customWidth="1"/>
    <col min="10062" max="10064" width="9" style="27"/>
    <col min="10065" max="10073" width="9.125" style="27" bestFit="1" customWidth="1"/>
    <col min="10074" max="10074" width="9" style="27"/>
    <col min="10075" max="10075" width="17.875" style="27" customWidth="1"/>
    <col min="10076" max="10076" width="12.875" style="27" customWidth="1"/>
    <col min="10077" max="10268" width="9" style="27"/>
    <col min="10269" max="10269" width="16.75" style="27" customWidth="1"/>
    <col min="10270" max="10270" width="22.875" style="27" customWidth="1"/>
    <col min="10271" max="10271" width="9" style="27"/>
    <col min="10272" max="10272" width="15.25" style="27" customWidth="1"/>
    <col min="10273" max="10273" width="13.875" style="27" customWidth="1"/>
    <col min="10274" max="10276" width="9" style="27"/>
    <col min="10277" max="10277" width="9.375" style="27" bestFit="1" customWidth="1"/>
    <col min="10278" max="10279" width="9" style="27"/>
    <col min="10280" max="10280" width="14" style="27" customWidth="1"/>
    <col min="10281" max="10283" width="9.125" style="27" bestFit="1" customWidth="1"/>
    <col min="10284" max="10284" width="14.125" style="27" customWidth="1"/>
    <col min="10285" max="10285" width="13" style="27" customWidth="1"/>
    <col min="10286" max="10288" width="9.125" style="27" bestFit="1" customWidth="1"/>
    <col min="10289" max="10289" width="9.125" style="27" customWidth="1"/>
    <col min="10290" max="10290" width="16.125" style="27" customWidth="1"/>
    <col min="10291" max="10291" width="13.875" style="27" customWidth="1"/>
    <col min="10292" max="10292" width="10.625" style="27" customWidth="1"/>
    <col min="10293" max="10304" width="9" style="27"/>
    <col min="10305" max="10305" width="12.375" style="27" customWidth="1"/>
    <col min="10306" max="10316" width="9" style="27"/>
    <col min="10317" max="10317" width="13.25" style="27" customWidth="1"/>
    <col min="10318" max="10320" width="9" style="27"/>
    <col min="10321" max="10329" width="9.125" style="27" bestFit="1" customWidth="1"/>
    <col min="10330" max="10330" width="9" style="27"/>
    <col min="10331" max="10331" width="17.875" style="27" customWidth="1"/>
    <col min="10332" max="10332" width="12.875" style="27" customWidth="1"/>
    <col min="10333" max="10524" width="9" style="27"/>
    <col min="10525" max="10525" width="16.75" style="27" customWidth="1"/>
    <col min="10526" max="10526" width="22.875" style="27" customWidth="1"/>
    <col min="10527" max="10527" width="9" style="27"/>
    <col min="10528" max="10528" width="15.25" style="27" customWidth="1"/>
    <col min="10529" max="10529" width="13.875" style="27" customWidth="1"/>
    <col min="10530" max="10532" width="9" style="27"/>
    <col min="10533" max="10533" width="9.375" style="27" bestFit="1" customWidth="1"/>
    <col min="10534" max="10535" width="9" style="27"/>
    <col min="10536" max="10536" width="14" style="27" customWidth="1"/>
    <col min="10537" max="10539" width="9.125" style="27" bestFit="1" customWidth="1"/>
    <col min="10540" max="10540" width="14.125" style="27" customWidth="1"/>
    <col min="10541" max="10541" width="13" style="27" customWidth="1"/>
    <col min="10542" max="10544" width="9.125" style="27" bestFit="1" customWidth="1"/>
    <col min="10545" max="10545" width="9.125" style="27" customWidth="1"/>
    <col min="10546" max="10546" width="16.125" style="27" customWidth="1"/>
    <col min="10547" max="10547" width="13.875" style="27" customWidth="1"/>
    <col min="10548" max="10548" width="10.625" style="27" customWidth="1"/>
    <col min="10549" max="10560" width="9" style="27"/>
    <col min="10561" max="10561" width="12.375" style="27" customWidth="1"/>
    <col min="10562" max="10572" width="9" style="27"/>
    <col min="10573" max="10573" width="13.25" style="27" customWidth="1"/>
    <col min="10574" max="10576" width="9" style="27"/>
    <col min="10577" max="10585" width="9.125" style="27" bestFit="1" customWidth="1"/>
    <col min="10586" max="10586" width="9" style="27"/>
    <col min="10587" max="10587" width="17.875" style="27" customWidth="1"/>
    <col min="10588" max="10588" width="12.875" style="27" customWidth="1"/>
    <col min="10589" max="10780" width="9" style="27"/>
    <col min="10781" max="10781" width="16.75" style="27" customWidth="1"/>
    <col min="10782" max="10782" width="22.875" style="27" customWidth="1"/>
    <col min="10783" max="10783" width="9" style="27"/>
    <col min="10784" max="10784" width="15.25" style="27" customWidth="1"/>
    <col min="10785" max="10785" width="13.875" style="27" customWidth="1"/>
    <col min="10786" max="10788" width="9" style="27"/>
    <col min="10789" max="10789" width="9.375" style="27" bestFit="1" customWidth="1"/>
    <col min="10790" max="10791" width="9" style="27"/>
    <col min="10792" max="10792" width="14" style="27" customWidth="1"/>
    <col min="10793" max="10795" width="9.125" style="27" bestFit="1" customWidth="1"/>
    <col min="10796" max="10796" width="14.125" style="27" customWidth="1"/>
    <col min="10797" max="10797" width="13" style="27" customWidth="1"/>
    <col min="10798" max="10800" width="9.125" style="27" bestFit="1" customWidth="1"/>
    <col min="10801" max="10801" width="9.125" style="27" customWidth="1"/>
    <col min="10802" max="10802" width="16.125" style="27" customWidth="1"/>
    <col min="10803" max="10803" width="13.875" style="27" customWidth="1"/>
    <col min="10804" max="10804" width="10.625" style="27" customWidth="1"/>
    <col min="10805" max="10816" width="9" style="27"/>
    <col min="10817" max="10817" width="12.375" style="27" customWidth="1"/>
    <col min="10818" max="10828" width="9" style="27"/>
    <col min="10829" max="10829" width="13.25" style="27" customWidth="1"/>
    <col min="10830" max="10832" width="9" style="27"/>
    <col min="10833" max="10841" width="9.125" style="27" bestFit="1" customWidth="1"/>
    <col min="10842" max="10842" width="9" style="27"/>
    <col min="10843" max="10843" width="17.875" style="27" customWidth="1"/>
    <col min="10844" max="10844" width="12.875" style="27" customWidth="1"/>
    <col min="10845" max="11036" width="9" style="27"/>
    <col min="11037" max="11037" width="16.75" style="27" customWidth="1"/>
    <col min="11038" max="11038" width="22.875" style="27" customWidth="1"/>
    <col min="11039" max="11039" width="9" style="27"/>
    <col min="11040" max="11040" width="15.25" style="27" customWidth="1"/>
    <col min="11041" max="11041" width="13.875" style="27" customWidth="1"/>
    <col min="11042" max="11044" width="9" style="27"/>
    <col min="11045" max="11045" width="9.375" style="27" bestFit="1" customWidth="1"/>
    <col min="11046" max="11047" width="9" style="27"/>
    <col min="11048" max="11048" width="14" style="27" customWidth="1"/>
    <col min="11049" max="11051" width="9.125" style="27" bestFit="1" customWidth="1"/>
    <col min="11052" max="11052" width="14.125" style="27" customWidth="1"/>
    <col min="11053" max="11053" width="13" style="27" customWidth="1"/>
    <col min="11054" max="11056" width="9.125" style="27" bestFit="1" customWidth="1"/>
    <col min="11057" max="11057" width="9.125" style="27" customWidth="1"/>
    <col min="11058" max="11058" width="16.125" style="27" customWidth="1"/>
    <col min="11059" max="11059" width="13.875" style="27" customWidth="1"/>
    <col min="11060" max="11060" width="10.625" style="27" customWidth="1"/>
    <col min="11061" max="11072" width="9" style="27"/>
    <col min="11073" max="11073" width="12.375" style="27" customWidth="1"/>
    <col min="11074" max="11084" width="9" style="27"/>
    <col min="11085" max="11085" width="13.25" style="27" customWidth="1"/>
    <col min="11086" max="11088" width="9" style="27"/>
    <col min="11089" max="11097" width="9.125" style="27" bestFit="1" customWidth="1"/>
    <col min="11098" max="11098" width="9" style="27"/>
    <col min="11099" max="11099" width="17.875" style="27" customWidth="1"/>
    <col min="11100" max="11100" width="12.875" style="27" customWidth="1"/>
    <col min="11101" max="11292" width="9" style="27"/>
    <col min="11293" max="11293" width="16.75" style="27" customWidth="1"/>
    <col min="11294" max="11294" width="22.875" style="27" customWidth="1"/>
    <col min="11295" max="11295" width="9" style="27"/>
    <col min="11296" max="11296" width="15.25" style="27" customWidth="1"/>
    <col min="11297" max="11297" width="13.875" style="27" customWidth="1"/>
    <col min="11298" max="11300" width="9" style="27"/>
    <col min="11301" max="11301" width="9.375" style="27" bestFit="1" customWidth="1"/>
    <col min="11302" max="11303" width="9" style="27"/>
    <col min="11304" max="11304" width="14" style="27" customWidth="1"/>
    <col min="11305" max="11307" width="9.125" style="27" bestFit="1" customWidth="1"/>
    <col min="11308" max="11308" width="14.125" style="27" customWidth="1"/>
    <col min="11309" max="11309" width="13" style="27" customWidth="1"/>
    <col min="11310" max="11312" width="9.125" style="27" bestFit="1" customWidth="1"/>
    <col min="11313" max="11313" width="9.125" style="27" customWidth="1"/>
    <col min="11314" max="11314" width="16.125" style="27" customWidth="1"/>
    <col min="11315" max="11315" width="13.875" style="27" customWidth="1"/>
    <col min="11316" max="11316" width="10.625" style="27" customWidth="1"/>
    <col min="11317" max="11328" width="9" style="27"/>
    <col min="11329" max="11329" width="12.375" style="27" customWidth="1"/>
    <col min="11330" max="11340" width="9" style="27"/>
    <col min="11341" max="11341" width="13.25" style="27" customWidth="1"/>
    <col min="11342" max="11344" width="9" style="27"/>
    <col min="11345" max="11353" width="9.125" style="27" bestFit="1" customWidth="1"/>
    <col min="11354" max="11354" width="9" style="27"/>
    <col min="11355" max="11355" width="17.875" style="27" customWidth="1"/>
    <col min="11356" max="11356" width="12.875" style="27" customWidth="1"/>
    <col min="11357" max="11548" width="9" style="27"/>
    <col min="11549" max="11549" width="16.75" style="27" customWidth="1"/>
    <col min="11550" max="11550" width="22.875" style="27" customWidth="1"/>
    <col min="11551" max="11551" width="9" style="27"/>
    <col min="11552" max="11552" width="15.25" style="27" customWidth="1"/>
    <col min="11553" max="11553" width="13.875" style="27" customWidth="1"/>
    <col min="11554" max="11556" width="9" style="27"/>
    <col min="11557" max="11557" width="9.375" style="27" bestFit="1" customWidth="1"/>
    <col min="11558" max="11559" width="9" style="27"/>
    <col min="11560" max="11560" width="14" style="27" customWidth="1"/>
    <col min="11561" max="11563" width="9.125" style="27" bestFit="1" customWidth="1"/>
    <col min="11564" max="11564" width="14.125" style="27" customWidth="1"/>
    <col min="11565" max="11565" width="13" style="27" customWidth="1"/>
    <col min="11566" max="11568" width="9.125" style="27" bestFit="1" customWidth="1"/>
    <col min="11569" max="11569" width="9.125" style="27" customWidth="1"/>
    <col min="11570" max="11570" width="16.125" style="27" customWidth="1"/>
    <col min="11571" max="11571" width="13.875" style="27" customWidth="1"/>
    <col min="11572" max="11572" width="10.625" style="27" customWidth="1"/>
    <col min="11573" max="11584" width="9" style="27"/>
    <col min="11585" max="11585" width="12.375" style="27" customWidth="1"/>
    <col min="11586" max="11596" width="9" style="27"/>
    <col min="11597" max="11597" width="13.25" style="27" customWidth="1"/>
    <col min="11598" max="11600" width="9" style="27"/>
    <col min="11601" max="11609" width="9.125" style="27" bestFit="1" customWidth="1"/>
    <col min="11610" max="11610" width="9" style="27"/>
    <col min="11611" max="11611" width="17.875" style="27" customWidth="1"/>
    <col min="11612" max="11612" width="12.875" style="27" customWidth="1"/>
    <col min="11613" max="11804" width="9" style="27"/>
    <col min="11805" max="11805" width="16.75" style="27" customWidth="1"/>
    <col min="11806" max="11806" width="22.875" style="27" customWidth="1"/>
    <col min="11807" max="11807" width="9" style="27"/>
    <col min="11808" max="11808" width="15.25" style="27" customWidth="1"/>
    <col min="11809" max="11809" width="13.875" style="27" customWidth="1"/>
    <col min="11810" max="11812" width="9" style="27"/>
    <col min="11813" max="11813" width="9.375" style="27" bestFit="1" customWidth="1"/>
    <col min="11814" max="11815" width="9" style="27"/>
    <col min="11816" max="11816" width="14" style="27" customWidth="1"/>
    <col min="11817" max="11819" width="9.125" style="27" bestFit="1" customWidth="1"/>
    <col min="11820" max="11820" width="14.125" style="27" customWidth="1"/>
    <col min="11821" max="11821" width="13" style="27" customWidth="1"/>
    <col min="11822" max="11824" width="9.125" style="27" bestFit="1" customWidth="1"/>
    <col min="11825" max="11825" width="9.125" style="27" customWidth="1"/>
    <col min="11826" max="11826" width="16.125" style="27" customWidth="1"/>
    <col min="11827" max="11827" width="13.875" style="27" customWidth="1"/>
    <col min="11828" max="11828" width="10.625" style="27" customWidth="1"/>
    <col min="11829" max="11840" width="9" style="27"/>
    <col min="11841" max="11841" width="12.375" style="27" customWidth="1"/>
    <col min="11842" max="11852" width="9" style="27"/>
    <col min="11853" max="11853" width="13.25" style="27" customWidth="1"/>
    <col min="11854" max="11856" width="9" style="27"/>
    <col min="11857" max="11865" width="9.125" style="27" bestFit="1" customWidth="1"/>
    <col min="11866" max="11866" width="9" style="27"/>
    <col min="11867" max="11867" width="17.875" style="27" customWidth="1"/>
    <col min="11868" max="11868" width="12.875" style="27" customWidth="1"/>
    <col min="11869" max="12060" width="9" style="27"/>
    <col min="12061" max="12061" width="16.75" style="27" customWidth="1"/>
    <col min="12062" max="12062" width="22.875" style="27" customWidth="1"/>
    <col min="12063" max="12063" width="9" style="27"/>
    <col min="12064" max="12064" width="15.25" style="27" customWidth="1"/>
    <col min="12065" max="12065" width="13.875" style="27" customWidth="1"/>
    <col min="12066" max="12068" width="9" style="27"/>
    <col min="12069" max="12069" width="9.375" style="27" bestFit="1" customWidth="1"/>
    <col min="12070" max="12071" width="9" style="27"/>
    <col min="12072" max="12072" width="14" style="27" customWidth="1"/>
    <col min="12073" max="12075" width="9.125" style="27" bestFit="1" customWidth="1"/>
    <col min="12076" max="12076" width="14.125" style="27" customWidth="1"/>
    <col min="12077" max="12077" width="13" style="27" customWidth="1"/>
    <col min="12078" max="12080" width="9.125" style="27" bestFit="1" customWidth="1"/>
    <col min="12081" max="12081" width="9.125" style="27" customWidth="1"/>
    <col min="12082" max="12082" width="16.125" style="27" customWidth="1"/>
    <col min="12083" max="12083" width="13.875" style="27" customWidth="1"/>
    <col min="12084" max="12084" width="10.625" style="27" customWidth="1"/>
    <col min="12085" max="12096" width="9" style="27"/>
    <col min="12097" max="12097" width="12.375" style="27" customWidth="1"/>
    <col min="12098" max="12108" width="9" style="27"/>
    <col min="12109" max="12109" width="13.25" style="27" customWidth="1"/>
    <col min="12110" max="12112" width="9" style="27"/>
    <col min="12113" max="12121" width="9.125" style="27" bestFit="1" customWidth="1"/>
    <col min="12122" max="12122" width="9" style="27"/>
    <col min="12123" max="12123" width="17.875" style="27" customWidth="1"/>
    <col min="12124" max="12124" width="12.875" style="27" customWidth="1"/>
    <col min="12125" max="12316" width="9" style="27"/>
    <col min="12317" max="12317" width="16.75" style="27" customWidth="1"/>
    <col min="12318" max="12318" width="22.875" style="27" customWidth="1"/>
    <col min="12319" max="12319" width="9" style="27"/>
    <col min="12320" max="12320" width="15.25" style="27" customWidth="1"/>
    <col min="12321" max="12321" width="13.875" style="27" customWidth="1"/>
    <col min="12322" max="12324" width="9" style="27"/>
    <col min="12325" max="12325" width="9.375" style="27" bestFit="1" customWidth="1"/>
    <col min="12326" max="12327" width="9" style="27"/>
    <col min="12328" max="12328" width="14" style="27" customWidth="1"/>
    <col min="12329" max="12331" width="9.125" style="27" bestFit="1" customWidth="1"/>
    <col min="12332" max="12332" width="14.125" style="27" customWidth="1"/>
    <col min="12333" max="12333" width="13" style="27" customWidth="1"/>
    <col min="12334" max="12336" width="9.125" style="27" bestFit="1" customWidth="1"/>
    <col min="12337" max="12337" width="9.125" style="27" customWidth="1"/>
    <col min="12338" max="12338" width="16.125" style="27" customWidth="1"/>
    <col min="12339" max="12339" width="13.875" style="27" customWidth="1"/>
    <col min="12340" max="12340" width="10.625" style="27" customWidth="1"/>
    <col min="12341" max="12352" width="9" style="27"/>
    <col min="12353" max="12353" width="12.375" style="27" customWidth="1"/>
    <col min="12354" max="12364" width="9" style="27"/>
    <col min="12365" max="12365" width="13.25" style="27" customWidth="1"/>
    <col min="12366" max="12368" width="9" style="27"/>
    <col min="12369" max="12377" width="9.125" style="27" bestFit="1" customWidth="1"/>
    <col min="12378" max="12378" width="9" style="27"/>
    <col min="12379" max="12379" width="17.875" style="27" customWidth="1"/>
    <col min="12380" max="12380" width="12.875" style="27" customWidth="1"/>
    <col min="12381" max="12572" width="9" style="27"/>
    <col min="12573" max="12573" width="16.75" style="27" customWidth="1"/>
    <col min="12574" max="12574" width="22.875" style="27" customWidth="1"/>
    <col min="12575" max="12575" width="9" style="27"/>
    <col min="12576" max="12576" width="15.25" style="27" customWidth="1"/>
    <col min="12577" max="12577" width="13.875" style="27" customWidth="1"/>
    <col min="12578" max="12580" width="9" style="27"/>
    <col min="12581" max="12581" width="9.375" style="27" bestFit="1" customWidth="1"/>
    <col min="12582" max="12583" width="9" style="27"/>
    <col min="12584" max="12584" width="14" style="27" customWidth="1"/>
    <col min="12585" max="12587" width="9.125" style="27" bestFit="1" customWidth="1"/>
    <col min="12588" max="12588" width="14.125" style="27" customWidth="1"/>
    <col min="12589" max="12589" width="13" style="27" customWidth="1"/>
    <col min="12590" max="12592" width="9.125" style="27" bestFit="1" customWidth="1"/>
    <col min="12593" max="12593" width="9.125" style="27" customWidth="1"/>
    <col min="12594" max="12594" width="16.125" style="27" customWidth="1"/>
    <col min="12595" max="12595" width="13.875" style="27" customWidth="1"/>
    <col min="12596" max="12596" width="10.625" style="27" customWidth="1"/>
    <col min="12597" max="12608" width="9" style="27"/>
    <col min="12609" max="12609" width="12.375" style="27" customWidth="1"/>
    <col min="12610" max="12620" width="9" style="27"/>
    <col min="12621" max="12621" width="13.25" style="27" customWidth="1"/>
    <col min="12622" max="12624" width="9" style="27"/>
    <col min="12625" max="12633" width="9.125" style="27" bestFit="1" customWidth="1"/>
    <col min="12634" max="12634" width="9" style="27"/>
    <col min="12635" max="12635" width="17.875" style="27" customWidth="1"/>
    <col min="12636" max="12636" width="12.875" style="27" customWidth="1"/>
    <col min="12637" max="12828" width="9" style="27"/>
    <col min="12829" max="12829" width="16.75" style="27" customWidth="1"/>
    <col min="12830" max="12830" width="22.875" style="27" customWidth="1"/>
    <col min="12831" max="12831" width="9" style="27"/>
    <col min="12832" max="12832" width="15.25" style="27" customWidth="1"/>
    <col min="12833" max="12833" width="13.875" style="27" customWidth="1"/>
    <col min="12834" max="12836" width="9" style="27"/>
    <col min="12837" max="12837" width="9.375" style="27" bestFit="1" customWidth="1"/>
    <col min="12838" max="12839" width="9" style="27"/>
    <col min="12840" max="12840" width="14" style="27" customWidth="1"/>
    <col min="12841" max="12843" width="9.125" style="27" bestFit="1" customWidth="1"/>
    <col min="12844" max="12844" width="14.125" style="27" customWidth="1"/>
    <col min="12845" max="12845" width="13" style="27" customWidth="1"/>
    <col min="12846" max="12848" width="9.125" style="27" bestFit="1" customWidth="1"/>
    <col min="12849" max="12849" width="9.125" style="27" customWidth="1"/>
    <col min="12850" max="12850" width="16.125" style="27" customWidth="1"/>
    <col min="12851" max="12851" width="13.875" style="27" customWidth="1"/>
    <col min="12852" max="12852" width="10.625" style="27" customWidth="1"/>
    <col min="12853" max="12864" width="9" style="27"/>
    <col min="12865" max="12865" width="12.375" style="27" customWidth="1"/>
    <col min="12866" max="12876" width="9" style="27"/>
    <col min="12877" max="12877" width="13.25" style="27" customWidth="1"/>
    <col min="12878" max="12880" width="9" style="27"/>
    <col min="12881" max="12889" width="9.125" style="27" bestFit="1" customWidth="1"/>
    <col min="12890" max="12890" width="9" style="27"/>
    <col min="12891" max="12891" width="17.875" style="27" customWidth="1"/>
    <col min="12892" max="12892" width="12.875" style="27" customWidth="1"/>
    <col min="12893" max="13084" width="9" style="27"/>
    <col min="13085" max="13085" width="16.75" style="27" customWidth="1"/>
    <col min="13086" max="13086" width="22.875" style="27" customWidth="1"/>
    <col min="13087" max="13087" width="9" style="27"/>
    <col min="13088" max="13088" width="15.25" style="27" customWidth="1"/>
    <col min="13089" max="13089" width="13.875" style="27" customWidth="1"/>
    <col min="13090" max="13092" width="9" style="27"/>
    <col min="13093" max="13093" width="9.375" style="27" bestFit="1" customWidth="1"/>
    <col min="13094" max="13095" width="9" style="27"/>
    <col min="13096" max="13096" width="14" style="27" customWidth="1"/>
    <col min="13097" max="13099" width="9.125" style="27" bestFit="1" customWidth="1"/>
    <col min="13100" max="13100" width="14.125" style="27" customWidth="1"/>
    <col min="13101" max="13101" width="13" style="27" customWidth="1"/>
    <col min="13102" max="13104" width="9.125" style="27" bestFit="1" customWidth="1"/>
    <col min="13105" max="13105" width="9.125" style="27" customWidth="1"/>
    <col min="13106" max="13106" width="16.125" style="27" customWidth="1"/>
    <col min="13107" max="13107" width="13.875" style="27" customWidth="1"/>
    <col min="13108" max="13108" width="10.625" style="27" customWidth="1"/>
    <col min="13109" max="13120" width="9" style="27"/>
    <col min="13121" max="13121" width="12.375" style="27" customWidth="1"/>
    <col min="13122" max="13132" width="9" style="27"/>
    <col min="13133" max="13133" width="13.25" style="27" customWidth="1"/>
    <col min="13134" max="13136" width="9" style="27"/>
    <col min="13137" max="13145" width="9.125" style="27" bestFit="1" customWidth="1"/>
    <col min="13146" max="13146" width="9" style="27"/>
    <col min="13147" max="13147" width="17.875" style="27" customWidth="1"/>
    <col min="13148" max="13148" width="12.875" style="27" customWidth="1"/>
    <col min="13149" max="13340" width="9" style="27"/>
    <col min="13341" max="13341" width="16.75" style="27" customWidth="1"/>
    <col min="13342" max="13342" width="22.875" style="27" customWidth="1"/>
    <col min="13343" max="13343" width="9" style="27"/>
    <col min="13344" max="13344" width="15.25" style="27" customWidth="1"/>
    <col min="13345" max="13345" width="13.875" style="27" customWidth="1"/>
    <col min="13346" max="13348" width="9" style="27"/>
    <col min="13349" max="13349" width="9.375" style="27" bestFit="1" customWidth="1"/>
    <col min="13350" max="13351" width="9" style="27"/>
    <col min="13352" max="13352" width="14" style="27" customWidth="1"/>
    <col min="13353" max="13355" width="9.125" style="27" bestFit="1" customWidth="1"/>
    <col min="13356" max="13356" width="14.125" style="27" customWidth="1"/>
    <col min="13357" max="13357" width="13" style="27" customWidth="1"/>
    <col min="13358" max="13360" width="9.125" style="27" bestFit="1" customWidth="1"/>
    <col min="13361" max="13361" width="9.125" style="27" customWidth="1"/>
    <col min="13362" max="13362" width="16.125" style="27" customWidth="1"/>
    <col min="13363" max="13363" width="13.875" style="27" customWidth="1"/>
    <col min="13364" max="13364" width="10.625" style="27" customWidth="1"/>
    <col min="13365" max="13376" width="9" style="27"/>
    <col min="13377" max="13377" width="12.375" style="27" customWidth="1"/>
    <col min="13378" max="13388" width="9" style="27"/>
    <col min="13389" max="13389" width="13.25" style="27" customWidth="1"/>
    <col min="13390" max="13392" width="9" style="27"/>
    <col min="13393" max="13401" width="9.125" style="27" bestFit="1" customWidth="1"/>
    <col min="13402" max="13402" width="9" style="27"/>
    <col min="13403" max="13403" width="17.875" style="27" customWidth="1"/>
    <col min="13404" max="13404" width="12.875" style="27" customWidth="1"/>
    <col min="13405" max="13596" width="9" style="27"/>
    <col min="13597" max="13597" width="16.75" style="27" customWidth="1"/>
    <col min="13598" max="13598" width="22.875" style="27" customWidth="1"/>
    <col min="13599" max="13599" width="9" style="27"/>
    <col min="13600" max="13600" width="15.25" style="27" customWidth="1"/>
    <col min="13601" max="13601" width="13.875" style="27" customWidth="1"/>
    <col min="13602" max="13604" width="9" style="27"/>
    <col min="13605" max="13605" width="9.375" style="27" bestFit="1" customWidth="1"/>
    <col min="13606" max="13607" width="9" style="27"/>
    <col min="13608" max="13608" width="14" style="27" customWidth="1"/>
    <col min="13609" max="13611" width="9.125" style="27" bestFit="1" customWidth="1"/>
    <col min="13612" max="13612" width="14.125" style="27" customWidth="1"/>
    <col min="13613" max="13613" width="13" style="27" customWidth="1"/>
    <col min="13614" max="13616" width="9.125" style="27" bestFit="1" customWidth="1"/>
    <col min="13617" max="13617" width="9.125" style="27" customWidth="1"/>
    <col min="13618" max="13618" width="16.125" style="27" customWidth="1"/>
    <col min="13619" max="13619" width="13.875" style="27" customWidth="1"/>
    <col min="13620" max="13620" width="10.625" style="27" customWidth="1"/>
    <col min="13621" max="13632" width="9" style="27"/>
    <col min="13633" max="13633" width="12.375" style="27" customWidth="1"/>
    <col min="13634" max="13644" width="9" style="27"/>
    <col min="13645" max="13645" width="13.25" style="27" customWidth="1"/>
    <col min="13646" max="13648" width="9" style="27"/>
    <col min="13649" max="13657" width="9.125" style="27" bestFit="1" customWidth="1"/>
    <col min="13658" max="13658" width="9" style="27"/>
    <col min="13659" max="13659" width="17.875" style="27" customWidth="1"/>
    <col min="13660" max="13660" width="12.875" style="27" customWidth="1"/>
    <col min="13661" max="13852" width="9" style="27"/>
    <col min="13853" max="13853" width="16.75" style="27" customWidth="1"/>
    <col min="13854" max="13854" width="22.875" style="27" customWidth="1"/>
    <col min="13855" max="13855" width="9" style="27"/>
    <col min="13856" max="13856" width="15.25" style="27" customWidth="1"/>
    <col min="13857" max="13857" width="13.875" style="27" customWidth="1"/>
    <col min="13858" max="13860" width="9" style="27"/>
    <col min="13861" max="13861" width="9.375" style="27" bestFit="1" customWidth="1"/>
    <col min="13862" max="13863" width="9" style="27"/>
    <col min="13864" max="13864" width="14" style="27" customWidth="1"/>
    <col min="13865" max="13867" width="9.125" style="27" bestFit="1" customWidth="1"/>
    <col min="13868" max="13868" width="14.125" style="27" customWidth="1"/>
    <col min="13869" max="13869" width="13" style="27" customWidth="1"/>
    <col min="13870" max="13872" width="9.125" style="27" bestFit="1" customWidth="1"/>
    <col min="13873" max="13873" width="9.125" style="27" customWidth="1"/>
    <col min="13874" max="13874" width="16.125" style="27" customWidth="1"/>
    <col min="13875" max="13875" width="13.875" style="27" customWidth="1"/>
    <col min="13876" max="13876" width="10.625" style="27" customWidth="1"/>
    <col min="13877" max="13888" width="9" style="27"/>
    <col min="13889" max="13889" width="12.375" style="27" customWidth="1"/>
    <col min="13890" max="13900" width="9" style="27"/>
    <col min="13901" max="13901" width="13.25" style="27" customWidth="1"/>
    <col min="13902" max="13904" width="9" style="27"/>
    <col min="13905" max="13913" width="9.125" style="27" bestFit="1" customWidth="1"/>
    <col min="13914" max="13914" width="9" style="27"/>
    <col min="13915" max="13915" width="17.875" style="27" customWidth="1"/>
    <col min="13916" max="13916" width="12.875" style="27" customWidth="1"/>
    <col min="13917" max="14108" width="9" style="27"/>
    <col min="14109" max="14109" width="16.75" style="27" customWidth="1"/>
    <col min="14110" max="14110" width="22.875" style="27" customWidth="1"/>
    <col min="14111" max="14111" width="9" style="27"/>
    <col min="14112" max="14112" width="15.25" style="27" customWidth="1"/>
    <col min="14113" max="14113" width="13.875" style="27" customWidth="1"/>
    <col min="14114" max="14116" width="9" style="27"/>
    <col min="14117" max="14117" width="9.375" style="27" bestFit="1" customWidth="1"/>
    <col min="14118" max="14119" width="9" style="27"/>
    <col min="14120" max="14120" width="14" style="27" customWidth="1"/>
    <col min="14121" max="14123" width="9.125" style="27" bestFit="1" customWidth="1"/>
    <col min="14124" max="14124" width="14.125" style="27" customWidth="1"/>
    <col min="14125" max="14125" width="13" style="27" customWidth="1"/>
    <col min="14126" max="14128" width="9.125" style="27" bestFit="1" customWidth="1"/>
    <col min="14129" max="14129" width="9.125" style="27" customWidth="1"/>
    <col min="14130" max="14130" width="16.125" style="27" customWidth="1"/>
    <col min="14131" max="14131" width="13.875" style="27" customWidth="1"/>
    <col min="14132" max="14132" width="10.625" style="27" customWidth="1"/>
    <col min="14133" max="14144" width="9" style="27"/>
    <col min="14145" max="14145" width="12.375" style="27" customWidth="1"/>
    <col min="14146" max="14156" width="9" style="27"/>
    <col min="14157" max="14157" width="13.25" style="27" customWidth="1"/>
    <col min="14158" max="14160" width="9" style="27"/>
    <col min="14161" max="14169" width="9.125" style="27" bestFit="1" customWidth="1"/>
    <col min="14170" max="14170" width="9" style="27"/>
    <col min="14171" max="14171" width="17.875" style="27" customWidth="1"/>
    <col min="14172" max="14172" width="12.875" style="27" customWidth="1"/>
    <col min="14173" max="14364" width="9" style="27"/>
    <col min="14365" max="14365" width="16.75" style="27" customWidth="1"/>
    <col min="14366" max="14366" width="22.875" style="27" customWidth="1"/>
    <col min="14367" max="14367" width="9" style="27"/>
    <col min="14368" max="14368" width="15.25" style="27" customWidth="1"/>
    <col min="14369" max="14369" width="13.875" style="27" customWidth="1"/>
    <col min="14370" max="14372" width="9" style="27"/>
    <col min="14373" max="14373" width="9.375" style="27" bestFit="1" customWidth="1"/>
    <col min="14374" max="14375" width="9" style="27"/>
    <col min="14376" max="14376" width="14" style="27" customWidth="1"/>
    <col min="14377" max="14379" width="9.125" style="27" bestFit="1" customWidth="1"/>
    <col min="14380" max="14380" width="14.125" style="27" customWidth="1"/>
    <col min="14381" max="14381" width="13" style="27" customWidth="1"/>
    <col min="14382" max="14384" width="9.125" style="27" bestFit="1" customWidth="1"/>
    <col min="14385" max="14385" width="9.125" style="27" customWidth="1"/>
    <col min="14386" max="14386" width="16.125" style="27" customWidth="1"/>
    <col min="14387" max="14387" width="13.875" style="27" customWidth="1"/>
    <col min="14388" max="14388" width="10.625" style="27" customWidth="1"/>
    <col min="14389" max="14400" width="9" style="27"/>
    <col min="14401" max="14401" width="12.375" style="27" customWidth="1"/>
    <col min="14402" max="14412" width="9" style="27"/>
    <col min="14413" max="14413" width="13.25" style="27" customWidth="1"/>
    <col min="14414" max="14416" width="9" style="27"/>
    <col min="14417" max="14425" width="9.125" style="27" bestFit="1" customWidth="1"/>
    <col min="14426" max="14426" width="9" style="27"/>
    <col min="14427" max="14427" width="17.875" style="27" customWidth="1"/>
    <col min="14428" max="14428" width="12.875" style="27" customWidth="1"/>
    <col min="14429" max="14620" width="9" style="27"/>
    <col min="14621" max="14621" width="16.75" style="27" customWidth="1"/>
    <col min="14622" max="14622" width="22.875" style="27" customWidth="1"/>
    <col min="14623" max="14623" width="9" style="27"/>
    <col min="14624" max="14624" width="15.25" style="27" customWidth="1"/>
    <col min="14625" max="14625" width="13.875" style="27" customWidth="1"/>
    <col min="14626" max="14628" width="9" style="27"/>
    <col min="14629" max="14629" width="9.375" style="27" bestFit="1" customWidth="1"/>
    <col min="14630" max="14631" width="9" style="27"/>
    <col min="14632" max="14632" width="14" style="27" customWidth="1"/>
    <col min="14633" max="14635" width="9.125" style="27" bestFit="1" customWidth="1"/>
    <col min="14636" max="14636" width="14.125" style="27" customWidth="1"/>
    <col min="14637" max="14637" width="13" style="27" customWidth="1"/>
    <col min="14638" max="14640" width="9.125" style="27" bestFit="1" customWidth="1"/>
    <col min="14641" max="14641" width="9.125" style="27" customWidth="1"/>
    <col min="14642" max="14642" width="16.125" style="27" customWidth="1"/>
    <col min="14643" max="14643" width="13.875" style="27" customWidth="1"/>
    <col min="14644" max="14644" width="10.625" style="27" customWidth="1"/>
    <col min="14645" max="14656" width="9" style="27"/>
    <col min="14657" max="14657" width="12.375" style="27" customWidth="1"/>
    <col min="14658" max="14668" width="9" style="27"/>
    <col min="14669" max="14669" width="13.25" style="27" customWidth="1"/>
    <col min="14670" max="14672" width="9" style="27"/>
    <col min="14673" max="14681" width="9.125" style="27" bestFit="1" customWidth="1"/>
    <col min="14682" max="14682" width="9" style="27"/>
    <col min="14683" max="14683" width="17.875" style="27" customWidth="1"/>
    <col min="14684" max="14684" width="12.875" style="27" customWidth="1"/>
    <col min="14685" max="14876" width="9" style="27"/>
    <col min="14877" max="14877" width="16.75" style="27" customWidth="1"/>
    <col min="14878" max="14878" width="22.875" style="27" customWidth="1"/>
    <col min="14879" max="14879" width="9" style="27"/>
    <col min="14880" max="14880" width="15.25" style="27" customWidth="1"/>
    <col min="14881" max="14881" width="13.875" style="27" customWidth="1"/>
    <col min="14882" max="14884" width="9" style="27"/>
    <col min="14885" max="14885" width="9.375" style="27" bestFit="1" customWidth="1"/>
    <col min="14886" max="14887" width="9" style="27"/>
    <col min="14888" max="14888" width="14" style="27" customWidth="1"/>
    <col min="14889" max="14891" width="9.125" style="27" bestFit="1" customWidth="1"/>
    <col min="14892" max="14892" width="14.125" style="27" customWidth="1"/>
    <col min="14893" max="14893" width="13" style="27" customWidth="1"/>
    <col min="14894" max="14896" width="9.125" style="27" bestFit="1" customWidth="1"/>
    <col min="14897" max="14897" width="9.125" style="27" customWidth="1"/>
    <col min="14898" max="14898" width="16.125" style="27" customWidth="1"/>
    <col min="14899" max="14899" width="13.875" style="27" customWidth="1"/>
    <col min="14900" max="14900" width="10.625" style="27" customWidth="1"/>
    <col min="14901" max="14912" width="9" style="27"/>
    <col min="14913" max="14913" width="12.375" style="27" customWidth="1"/>
    <col min="14914" max="14924" width="9" style="27"/>
    <col min="14925" max="14925" width="13.25" style="27" customWidth="1"/>
    <col min="14926" max="14928" width="9" style="27"/>
    <col min="14929" max="14937" width="9.125" style="27" bestFit="1" customWidth="1"/>
    <col min="14938" max="14938" width="9" style="27"/>
    <col min="14939" max="14939" width="17.875" style="27" customWidth="1"/>
    <col min="14940" max="14940" width="12.875" style="27" customWidth="1"/>
    <col min="14941" max="15132" width="9" style="27"/>
    <col min="15133" max="15133" width="16.75" style="27" customWidth="1"/>
    <col min="15134" max="15134" width="22.875" style="27" customWidth="1"/>
    <col min="15135" max="15135" width="9" style="27"/>
    <col min="15136" max="15136" width="15.25" style="27" customWidth="1"/>
    <col min="15137" max="15137" width="13.875" style="27" customWidth="1"/>
    <col min="15138" max="15140" width="9" style="27"/>
    <col min="15141" max="15141" width="9.375" style="27" bestFit="1" customWidth="1"/>
    <col min="15142" max="15143" width="9" style="27"/>
    <col min="15144" max="15144" width="14" style="27" customWidth="1"/>
    <col min="15145" max="15147" width="9.125" style="27" bestFit="1" customWidth="1"/>
    <col min="15148" max="15148" width="14.125" style="27" customWidth="1"/>
    <col min="15149" max="15149" width="13" style="27" customWidth="1"/>
    <col min="15150" max="15152" width="9.125" style="27" bestFit="1" customWidth="1"/>
    <col min="15153" max="15153" width="9.125" style="27" customWidth="1"/>
    <col min="15154" max="15154" width="16.125" style="27" customWidth="1"/>
    <col min="15155" max="15155" width="13.875" style="27" customWidth="1"/>
    <col min="15156" max="15156" width="10.625" style="27" customWidth="1"/>
    <col min="15157" max="15168" width="9" style="27"/>
    <col min="15169" max="15169" width="12.375" style="27" customWidth="1"/>
    <col min="15170" max="15180" width="9" style="27"/>
    <col min="15181" max="15181" width="13.25" style="27" customWidth="1"/>
    <col min="15182" max="15184" width="9" style="27"/>
    <col min="15185" max="15193" width="9.125" style="27" bestFit="1" customWidth="1"/>
    <col min="15194" max="15194" width="9" style="27"/>
    <col min="15195" max="15195" width="17.875" style="27" customWidth="1"/>
    <col min="15196" max="15196" width="12.875" style="27" customWidth="1"/>
    <col min="15197" max="15388" width="9" style="27"/>
    <col min="15389" max="15389" width="16.75" style="27" customWidth="1"/>
    <col min="15390" max="15390" width="22.875" style="27" customWidth="1"/>
    <col min="15391" max="15391" width="9" style="27"/>
    <col min="15392" max="15392" width="15.25" style="27" customWidth="1"/>
    <col min="15393" max="15393" width="13.875" style="27" customWidth="1"/>
    <col min="15394" max="15396" width="9" style="27"/>
    <col min="15397" max="15397" width="9.375" style="27" bestFit="1" customWidth="1"/>
    <col min="15398" max="15399" width="9" style="27"/>
    <col min="15400" max="15400" width="14" style="27" customWidth="1"/>
    <col min="15401" max="15403" width="9.125" style="27" bestFit="1" customWidth="1"/>
    <col min="15404" max="15404" width="14.125" style="27" customWidth="1"/>
    <col min="15405" max="15405" width="13" style="27" customWidth="1"/>
    <col min="15406" max="15408" width="9.125" style="27" bestFit="1" customWidth="1"/>
    <col min="15409" max="15409" width="9.125" style="27" customWidth="1"/>
    <col min="15410" max="15410" width="16.125" style="27" customWidth="1"/>
    <col min="15411" max="15411" width="13.875" style="27" customWidth="1"/>
    <col min="15412" max="15412" width="10.625" style="27" customWidth="1"/>
    <col min="15413" max="15424" width="9" style="27"/>
    <col min="15425" max="15425" width="12.375" style="27" customWidth="1"/>
    <col min="15426" max="15436" width="9" style="27"/>
    <col min="15437" max="15437" width="13.25" style="27" customWidth="1"/>
    <col min="15438" max="15440" width="9" style="27"/>
    <col min="15441" max="15449" width="9.125" style="27" bestFit="1" customWidth="1"/>
    <col min="15450" max="15450" width="9" style="27"/>
    <col min="15451" max="15451" width="17.875" style="27" customWidth="1"/>
    <col min="15452" max="15452" width="12.875" style="27" customWidth="1"/>
    <col min="15453" max="15644" width="9" style="27"/>
    <col min="15645" max="15645" width="16.75" style="27" customWidth="1"/>
    <col min="15646" max="15646" width="22.875" style="27" customWidth="1"/>
    <col min="15647" max="15647" width="9" style="27"/>
    <col min="15648" max="15648" width="15.25" style="27" customWidth="1"/>
    <col min="15649" max="15649" width="13.875" style="27" customWidth="1"/>
    <col min="15650" max="15652" width="9" style="27"/>
    <col min="15653" max="15653" width="9.375" style="27" bestFit="1" customWidth="1"/>
    <col min="15654" max="15655" width="9" style="27"/>
    <col min="15656" max="15656" width="14" style="27" customWidth="1"/>
    <col min="15657" max="15659" width="9.125" style="27" bestFit="1" customWidth="1"/>
    <col min="15660" max="15660" width="14.125" style="27" customWidth="1"/>
    <col min="15661" max="15661" width="13" style="27" customWidth="1"/>
    <col min="15662" max="15664" width="9.125" style="27" bestFit="1" customWidth="1"/>
    <col min="15665" max="15665" width="9.125" style="27" customWidth="1"/>
    <col min="15666" max="15666" width="16.125" style="27" customWidth="1"/>
    <col min="15667" max="15667" width="13.875" style="27" customWidth="1"/>
    <col min="15668" max="15668" width="10.625" style="27" customWidth="1"/>
    <col min="15669" max="15680" width="9" style="27"/>
    <col min="15681" max="15681" width="12.375" style="27" customWidth="1"/>
    <col min="15682" max="15692" width="9" style="27"/>
    <col min="15693" max="15693" width="13.25" style="27" customWidth="1"/>
    <col min="15694" max="15696" width="9" style="27"/>
    <col min="15697" max="15705" width="9.125" style="27" bestFit="1" customWidth="1"/>
    <col min="15706" max="15706" width="9" style="27"/>
    <col min="15707" max="15707" width="17.875" style="27" customWidth="1"/>
    <col min="15708" max="15708" width="12.875" style="27" customWidth="1"/>
    <col min="15709" max="15900" width="9" style="27"/>
    <col min="15901" max="15901" width="16.75" style="27" customWidth="1"/>
    <col min="15902" max="15902" width="22.875" style="27" customWidth="1"/>
    <col min="15903" max="15903" width="9" style="27"/>
    <col min="15904" max="15904" width="15.25" style="27" customWidth="1"/>
    <col min="15905" max="15905" width="13.875" style="27" customWidth="1"/>
    <col min="15906" max="15908" width="9" style="27"/>
    <col min="15909" max="15909" width="9.375" style="27" bestFit="1" customWidth="1"/>
    <col min="15910" max="15911" width="9" style="27"/>
    <col min="15912" max="15912" width="14" style="27" customWidth="1"/>
    <col min="15913" max="15915" width="9.125" style="27" bestFit="1" customWidth="1"/>
    <col min="15916" max="15916" width="14.125" style="27" customWidth="1"/>
    <col min="15917" max="15917" width="13" style="27" customWidth="1"/>
    <col min="15918" max="15920" width="9.125" style="27" bestFit="1" customWidth="1"/>
    <col min="15921" max="15921" width="9.125" style="27" customWidth="1"/>
    <col min="15922" max="15922" width="16.125" style="27" customWidth="1"/>
    <col min="15923" max="15923" width="13.875" style="27" customWidth="1"/>
    <col min="15924" max="15924" width="10.625" style="27" customWidth="1"/>
    <col min="15925" max="15936" width="9" style="27"/>
    <col min="15937" max="15937" width="12.375" style="27" customWidth="1"/>
    <col min="15938" max="15948" width="9" style="27"/>
    <col min="15949" max="15949" width="13.25" style="27" customWidth="1"/>
    <col min="15950" max="15952" width="9" style="27"/>
    <col min="15953" max="15961" width="9.125" style="27" bestFit="1" customWidth="1"/>
    <col min="15962" max="15962" width="9" style="27"/>
    <col min="15963" max="15963" width="17.875" style="27" customWidth="1"/>
    <col min="15964" max="15964" width="12.875" style="27" customWidth="1"/>
    <col min="15965" max="16156" width="9" style="27"/>
    <col min="16157" max="16157" width="16.75" style="27" customWidth="1"/>
    <col min="16158" max="16158" width="22.875" style="27" customWidth="1"/>
    <col min="16159" max="16159" width="9" style="27"/>
    <col min="16160" max="16160" width="15.25" style="27" customWidth="1"/>
    <col min="16161" max="16161" width="13.875" style="27" customWidth="1"/>
    <col min="16162" max="16164" width="9" style="27"/>
    <col min="16165" max="16165" width="9.375" style="27" bestFit="1" customWidth="1"/>
    <col min="16166" max="16167" width="9" style="27"/>
    <col min="16168" max="16168" width="14" style="27" customWidth="1"/>
    <col min="16169" max="16171" width="9.125" style="27" bestFit="1" customWidth="1"/>
    <col min="16172" max="16172" width="14.125" style="27" customWidth="1"/>
    <col min="16173" max="16173" width="13" style="27" customWidth="1"/>
    <col min="16174" max="16176" width="9.125" style="27" bestFit="1" customWidth="1"/>
    <col min="16177" max="16177" width="9.125" style="27" customWidth="1"/>
    <col min="16178" max="16178" width="16.125" style="27" customWidth="1"/>
    <col min="16179" max="16179" width="13.875" style="27" customWidth="1"/>
    <col min="16180" max="16180" width="10.625" style="27" customWidth="1"/>
    <col min="16181" max="16192" width="9" style="27"/>
    <col min="16193" max="16193" width="12.375" style="27" customWidth="1"/>
    <col min="16194" max="16204" width="9" style="27"/>
    <col min="16205" max="16205" width="13.25" style="27" customWidth="1"/>
    <col min="16206" max="16208" width="9" style="27"/>
    <col min="16209" max="16217" width="9.125" style="27" bestFit="1" customWidth="1"/>
    <col min="16218" max="16218" width="9" style="27"/>
    <col min="16219" max="16219" width="17.875" style="27" customWidth="1"/>
    <col min="16220" max="16220" width="12.875" style="27" customWidth="1"/>
    <col min="16221" max="16384" width="9" style="27"/>
  </cols>
  <sheetData>
    <row r="1" spans="1:99" x14ac:dyDescent="0.2">
      <c r="A1" s="31" t="s">
        <v>143</v>
      </c>
      <c r="B1" s="32" t="s">
        <v>144</v>
      </c>
      <c r="C1" s="32" t="s">
        <v>145</v>
      </c>
      <c r="D1" s="33" t="s">
        <v>146</v>
      </c>
      <c r="E1" s="33" t="s">
        <v>147</v>
      </c>
      <c r="F1" s="33" t="s">
        <v>148</v>
      </c>
      <c r="G1" s="33" t="s">
        <v>149</v>
      </c>
      <c r="H1" s="33" t="s">
        <v>150</v>
      </c>
      <c r="I1" s="33" t="s">
        <v>151</v>
      </c>
      <c r="J1" s="33" t="s">
        <v>152</v>
      </c>
      <c r="K1" s="33" t="s">
        <v>153</v>
      </c>
      <c r="L1" s="33" t="s">
        <v>154</v>
      </c>
      <c r="M1" s="33" t="s">
        <v>155</v>
      </c>
      <c r="O1" s="33" t="s">
        <v>156</v>
      </c>
      <c r="P1" s="33" t="s">
        <v>147</v>
      </c>
      <c r="Q1" s="33" t="s">
        <v>148</v>
      </c>
      <c r="R1" s="33" t="s">
        <v>149</v>
      </c>
      <c r="S1" s="33" t="s">
        <v>150</v>
      </c>
      <c r="T1" s="33" t="s">
        <v>151</v>
      </c>
      <c r="U1" s="33" t="s">
        <v>152</v>
      </c>
      <c r="V1" s="33" t="s">
        <v>153</v>
      </c>
      <c r="W1" s="33" t="s">
        <v>154</v>
      </c>
      <c r="X1" s="33"/>
      <c r="Y1" s="33" t="s">
        <v>155</v>
      </c>
      <c r="Z1" s="27" t="s">
        <v>157</v>
      </c>
      <c r="AA1" s="27" t="s">
        <v>158</v>
      </c>
      <c r="AB1" s="33" t="s">
        <v>159</v>
      </c>
      <c r="AC1" s="33" t="s">
        <v>160</v>
      </c>
      <c r="AD1" s="33" t="s">
        <v>147</v>
      </c>
      <c r="AE1" s="33" t="s">
        <v>148</v>
      </c>
      <c r="AF1" s="33" t="s">
        <v>149</v>
      </c>
      <c r="AG1" s="33" t="s">
        <v>150</v>
      </c>
      <c r="AH1" s="33" t="s">
        <v>151</v>
      </c>
      <c r="AI1" s="33" t="s">
        <v>152</v>
      </c>
      <c r="AJ1" s="33" t="s">
        <v>153</v>
      </c>
      <c r="AK1" s="33" t="s">
        <v>154</v>
      </c>
      <c r="AL1" s="33" t="s">
        <v>155</v>
      </c>
      <c r="AM1" s="33"/>
      <c r="AN1" s="33" t="s">
        <v>161</v>
      </c>
      <c r="AO1" s="33" t="s">
        <v>147</v>
      </c>
      <c r="AP1" s="33" t="s">
        <v>148</v>
      </c>
      <c r="AQ1" s="33" t="s">
        <v>149</v>
      </c>
      <c r="AR1" s="33" t="s">
        <v>150</v>
      </c>
      <c r="AS1" s="33" t="s">
        <v>151</v>
      </c>
      <c r="AT1" s="33" t="s">
        <v>152</v>
      </c>
      <c r="AU1" s="33" t="s">
        <v>153</v>
      </c>
      <c r="AV1" s="33" t="s">
        <v>154</v>
      </c>
      <c r="AW1" s="33" t="s">
        <v>155</v>
      </c>
      <c r="AY1" s="33" t="s">
        <v>162</v>
      </c>
      <c r="AZ1" s="33" t="s">
        <v>163</v>
      </c>
      <c r="BC1" s="33" t="s">
        <v>164</v>
      </c>
      <c r="BD1" s="33" t="s">
        <v>147</v>
      </c>
      <c r="BE1" s="33" t="s">
        <v>148</v>
      </c>
      <c r="BF1" s="33" t="s">
        <v>149</v>
      </c>
      <c r="BG1" s="33" t="s">
        <v>150</v>
      </c>
      <c r="BH1" s="33" t="s">
        <v>151</v>
      </c>
      <c r="BI1" s="33" t="s">
        <v>152</v>
      </c>
      <c r="BJ1" s="33" t="s">
        <v>153</v>
      </c>
      <c r="BK1" s="33" t="s">
        <v>154</v>
      </c>
      <c r="BL1" s="33" t="s">
        <v>155</v>
      </c>
      <c r="BN1" s="33" t="s">
        <v>165</v>
      </c>
      <c r="BO1" s="33" t="s">
        <v>147</v>
      </c>
      <c r="BP1" s="33" t="s">
        <v>148</v>
      </c>
      <c r="BQ1" s="33" t="s">
        <v>149</v>
      </c>
      <c r="BR1" s="33" t="s">
        <v>150</v>
      </c>
      <c r="BS1" s="33" t="s">
        <v>151</v>
      </c>
      <c r="BT1" s="33" t="s">
        <v>152</v>
      </c>
      <c r="BU1" s="33" t="s">
        <v>153</v>
      </c>
      <c r="BV1" s="33" t="s">
        <v>154</v>
      </c>
      <c r="BW1" s="33"/>
      <c r="BX1" s="33" t="s">
        <v>219</v>
      </c>
      <c r="BY1" s="33"/>
      <c r="BZ1" s="33"/>
      <c r="CA1" s="33" t="s">
        <v>218</v>
      </c>
      <c r="CB1" s="33" t="s">
        <v>147</v>
      </c>
      <c r="CC1" s="33" t="s">
        <v>148</v>
      </c>
      <c r="CD1" s="33" t="s">
        <v>149</v>
      </c>
      <c r="CE1" s="33" t="s">
        <v>150</v>
      </c>
      <c r="CF1" s="33" t="s">
        <v>151</v>
      </c>
      <c r="CG1" s="33" t="s">
        <v>152</v>
      </c>
      <c r="CH1" s="33" t="s">
        <v>153</v>
      </c>
      <c r="CI1" s="33" t="s">
        <v>154</v>
      </c>
      <c r="CJ1" s="33" t="s">
        <v>155</v>
      </c>
      <c r="CK1" s="33"/>
      <c r="CL1" s="33" t="s">
        <v>217</v>
      </c>
      <c r="CM1" s="33" t="s">
        <v>147</v>
      </c>
      <c r="CN1" s="33" t="s">
        <v>148</v>
      </c>
      <c r="CO1" s="33" t="s">
        <v>149</v>
      </c>
      <c r="CP1" s="33" t="s">
        <v>150</v>
      </c>
      <c r="CQ1" s="33" t="s">
        <v>151</v>
      </c>
      <c r="CR1" s="33" t="s">
        <v>152</v>
      </c>
      <c r="CS1" s="33" t="s">
        <v>153</v>
      </c>
      <c r="CT1" s="33" t="s">
        <v>154</v>
      </c>
      <c r="CU1" s="33" t="s">
        <v>155</v>
      </c>
    </row>
    <row r="2" spans="1:99" ht="15.75" x14ac:dyDescent="0.2">
      <c r="A2" s="34" t="s">
        <v>166</v>
      </c>
      <c r="B2" s="34">
        <v>122.6</v>
      </c>
      <c r="C2" s="34">
        <v>29.48</v>
      </c>
      <c r="E2" s="35">
        <v>44.351320582878003</v>
      </c>
      <c r="F2" s="35">
        <v>13.3277550091075</v>
      </c>
      <c r="G2" s="35">
        <v>52.698770491803302</v>
      </c>
      <c r="H2" s="35">
        <v>243.453779599271</v>
      </c>
      <c r="I2" s="35">
        <v>823.36145264116601</v>
      </c>
      <c r="J2" s="35">
        <v>79.330600000000004</v>
      </c>
      <c r="K2" s="35">
        <v>30.190300000000001</v>
      </c>
      <c r="L2" s="35">
        <v>84.070999999999998</v>
      </c>
      <c r="M2" s="35">
        <v>156.13579999999999</v>
      </c>
      <c r="O2" s="34" t="s">
        <v>166</v>
      </c>
      <c r="P2" s="35">
        <f>E2*8760/1000</f>
        <v>388.5175683060113</v>
      </c>
      <c r="Q2" s="35">
        <f t="shared" ref="Q2:W11" si="0">F2*8760/1000</f>
        <v>116.7511338797817</v>
      </c>
      <c r="R2" s="35">
        <f t="shared" si="0"/>
        <v>461.64122950819694</v>
      </c>
      <c r="S2" s="35">
        <f t="shared" si="0"/>
        <v>2132.6551092896138</v>
      </c>
      <c r="T2" s="35">
        <f t="shared" si="0"/>
        <v>7212.646325136614</v>
      </c>
      <c r="U2" s="35">
        <f t="shared" si="0"/>
        <v>694.93605600000001</v>
      </c>
      <c r="V2" s="35">
        <f t="shared" si="0"/>
        <v>264.46702799999997</v>
      </c>
      <c r="W2" s="35">
        <f t="shared" si="0"/>
        <v>736.46195999999998</v>
      </c>
      <c r="X2" s="35"/>
      <c r="Y2" s="35">
        <f t="shared" ref="Y2:Y11" si="1">M2*8760/1000</f>
        <v>1367.7496080000001</v>
      </c>
      <c r="Z2" s="27">
        <v>4.68</v>
      </c>
      <c r="AA2" s="27">
        <v>8.9037812425760907E-2</v>
      </c>
      <c r="AB2" s="27">
        <v>1.1879261018919101</v>
      </c>
      <c r="AC2" s="34" t="s">
        <v>166</v>
      </c>
      <c r="AD2" s="36">
        <f t="shared" ref="AD2:AD11" si="2">E2/2500</f>
        <v>1.7740528233151202E-2</v>
      </c>
      <c r="AE2" s="36">
        <f t="shared" ref="AE2:AE11" si="3">F2/250</f>
        <v>5.3311020036429999E-2</v>
      </c>
      <c r="AF2" s="36">
        <f t="shared" ref="AF2:AF11" si="4">G2/360</f>
        <v>0.1463854735883425</v>
      </c>
      <c r="AG2" s="36">
        <f t="shared" ref="AG2:AG11" si="5">H2/600</f>
        <v>0.40575629933211832</v>
      </c>
      <c r="AH2" s="36">
        <f t="shared" ref="AH2:AH11" si="6">I2/5900</f>
        <v>0.13955278858324849</v>
      </c>
      <c r="AI2" s="36">
        <f t="shared" ref="AI2:AI11" si="7">J2/3587</f>
        <v>2.211614162252579E-2</v>
      </c>
      <c r="AJ2" s="36">
        <f t="shared" ref="AJ2:AJ11" si="8">K2/2800</f>
        <v>1.078225E-2</v>
      </c>
      <c r="AK2" s="36">
        <f t="shared" ref="AK2:AK11" si="9">L2/1665</f>
        <v>5.0493093093093092E-2</v>
      </c>
      <c r="AL2" s="36">
        <f t="shared" ref="AL2:AL11" si="10">M2/2500</f>
        <v>6.2454319999999994E-2</v>
      </c>
      <c r="AM2" s="36"/>
      <c r="AN2" s="36"/>
      <c r="AO2" s="36">
        <f t="shared" ref="AO2:AV11" si="11">P2/7237</f>
        <v>5.3684892677354053E-2</v>
      </c>
      <c r="AP2" s="36">
        <f t="shared" si="11"/>
        <v>1.6132531971781359E-2</v>
      </c>
      <c r="AQ2" s="36">
        <f t="shared" si="11"/>
        <v>6.3789032680419647E-2</v>
      </c>
      <c r="AR2" s="36">
        <f t="shared" si="11"/>
        <v>0.29468773100588835</v>
      </c>
      <c r="AS2" s="36">
        <f t="shared" si="11"/>
        <v>0.99663483834967725</v>
      </c>
      <c r="AT2" s="36">
        <f t="shared" si="11"/>
        <v>9.6025432637833363E-2</v>
      </c>
      <c r="AU2" s="36">
        <f t="shared" si="11"/>
        <v>3.654373746027359E-2</v>
      </c>
      <c r="AV2" s="36">
        <f t="shared" si="11"/>
        <v>0.10176343236147575</v>
      </c>
      <c r="AW2" s="36">
        <f t="shared" ref="AW2:AW11" si="12">Y2/7237</f>
        <v>0.1889940041453641</v>
      </c>
      <c r="AY2" s="27">
        <f t="shared" ref="AY2:AY11" si="13">4.68/Z2</f>
        <v>1</v>
      </c>
      <c r="AZ2" s="27">
        <f t="shared" ref="AZ2:AZ11" si="14">AB2*2.718^AA2</f>
        <v>1.2985361555418864</v>
      </c>
      <c r="BC2" s="34" t="s">
        <v>166</v>
      </c>
      <c r="BD2" s="37">
        <f t="shared" ref="BD2:BD11" si="15">AD2*AO2*AY2/AZ2</f>
        <v>7.3343999716269021E-4</v>
      </c>
      <c r="BE2" s="37">
        <f t="shared" ref="BE2:BE11" si="16">AE2*AP2*AY2/AZ2</f>
        <v>6.6231635639523898E-4</v>
      </c>
      <c r="BF2" s="37">
        <f t="shared" ref="BF2:BF11" si="17">AF2*AQ2*AY2/AZ2</f>
        <v>7.1910109848029417E-3</v>
      </c>
      <c r="BG2" s="37">
        <f t="shared" ref="BG2:BG11" si="18">AG2*AR2*AY2/AZ2</f>
        <v>9.2081689586556159E-2</v>
      </c>
      <c r="BH2" s="37">
        <f t="shared" ref="BH2:BH11" si="19">AH2*AS2*AY2/AZ2</f>
        <v>0.10710766142115802</v>
      </c>
      <c r="BI2" s="37">
        <f t="shared" ref="BI2:BI11" si="20">AI2*AT2*AY2/AZ2</f>
        <v>1.6354662583086845E-3</v>
      </c>
      <c r="BJ2" s="37">
        <f t="shared" ref="BJ2:BJ11" si="21">AJ2*AU2*AY2/AZ2</f>
        <v>3.0343684428764064E-4</v>
      </c>
      <c r="BK2" s="37">
        <f t="shared" ref="BK2:BK11" si="22">AD2*AV2*AY2/AZ2</f>
        <v>1.39028631371281E-3</v>
      </c>
      <c r="BL2" s="37">
        <f t="shared" ref="BL2:BL11" si="23">AL2*AW2*AY2/AZ2</f>
        <v>9.0898447167612612E-3</v>
      </c>
      <c r="BO2" s="35">
        <f t="shared" ref="BO2:BV2" si="24">P2/8760*1000</f>
        <v>44.351320582878003</v>
      </c>
      <c r="BP2" s="35">
        <f t="shared" si="24"/>
        <v>13.327755009107502</v>
      </c>
      <c r="BQ2" s="35">
        <f t="shared" si="24"/>
        <v>52.698770491803309</v>
      </c>
      <c r="BR2" s="35">
        <f t="shared" si="24"/>
        <v>243.45377959927097</v>
      </c>
      <c r="BS2" s="35">
        <f t="shared" si="24"/>
        <v>823.36145264116601</v>
      </c>
      <c r="BT2" s="35">
        <f t="shared" si="24"/>
        <v>79.330600000000004</v>
      </c>
      <c r="BU2" s="35">
        <f t="shared" si="24"/>
        <v>30.190299999999997</v>
      </c>
      <c r="BV2" s="35">
        <f t="shared" si="24"/>
        <v>84.070999999999998</v>
      </c>
      <c r="BW2" s="35"/>
      <c r="BX2" s="34" t="s">
        <v>166</v>
      </c>
      <c r="BY2" s="64">
        <v>37.86</v>
      </c>
      <c r="BZ2" s="35"/>
      <c r="CA2" s="34" t="s">
        <v>166</v>
      </c>
      <c r="CB2" s="36">
        <f>48.04/BY2</f>
        <v>1.2688853671421025</v>
      </c>
      <c r="CC2" s="36">
        <v>1.2688853671421025</v>
      </c>
      <c r="CD2" s="36">
        <v>1.2688853671421025</v>
      </c>
      <c r="CE2" s="36">
        <v>1.2688853671421025</v>
      </c>
      <c r="CF2" s="36">
        <v>1.2688853671421025</v>
      </c>
      <c r="CG2" s="36">
        <v>1.2688853671421025</v>
      </c>
      <c r="CH2" s="36">
        <v>1.2688853671421025</v>
      </c>
      <c r="CI2" s="36">
        <v>1.2688853671421025</v>
      </c>
      <c r="CJ2" s="36">
        <v>1.2688853671421025</v>
      </c>
      <c r="CK2" s="36"/>
      <c r="CL2" s="34" t="s">
        <v>166</v>
      </c>
      <c r="CM2" s="37">
        <f>AD2*AO2*AZ17*CB2/AZ31</f>
        <v>9.3065128007648274E-4</v>
      </c>
      <c r="CN2" s="37">
        <f t="shared" ref="CN2:CU2" si="25">AE2*AP2*BA17*CC2/BA31</f>
        <v>8.4040353304879259E-4</v>
      </c>
      <c r="CO2" s="37">
        <f t="shared" si="25"/>
        <v>9.1245686135745727E-3</v>
      </c>
      <c r="CP2" s="37">
        <f t="shared" si="25"/>
        <v>0.11684110849810243</v>
      </c>
      <c r="CQ2" s="37">
        <f t="shared" si="25"/>
        <v>0.13590734428611809</v>
      </c>
      <c r="CR2" s="37">
        <f t="shared" si="25"/>
        <v>2.0752192036225356E-3</v>
      </c>
      <c r="CS2" s="37">
        <f t="shared" si="25"/>
        <v>3.8502657156836388E-4</v>
      </c>
      <c r="CT2" s="37">
        <f t="shared" si="25"/>
        <v>5.0210213145099559E-3</v>
      </c>
      <c r="CU2" s="37">
        <f t="shared" si="25"/>
        <v>1.1533970950692314E-2</v>
      </c>
    </row>
    <row r="3" spans="1:99" ht="15.75" x14ac:dyDescent="0.2">
      <c r="A3" s="34" t="s">
        <v>167</v>
      </c>
      <c r="B3" s="34">
        <v>122.6</v>
      </c>
      <c r="C3" s="34">
        <v>29.66</v>
      </c>
      <c r="E3" s="35">
        <v>39.186020036429902</v>
      </c>
      <c r="F3" s="35">
        <v>11.6608606557377</v>
      </c>
      <c r="G3" s="35">
        <v>49.0972222222222</v>
      </c>
      <c r="H3" s="35">
        <v>228.80999544626599</v>
      </c>
      <c r="I3" s="35">
        <v>770.77868852459005</v>
      </c>
      <c r="J3" s="35">
        <v>70.145399999999995</v>
      </c>
      <c r="K3" s="35">
        <v>26.235199999999999</v>
      </c>
      <c r="L3" s="35">
        <v>77.583100000000002</v>
      </c>
      <c r="M3" s="35">
        <v>129.28110000000001</v>
      </c>
      <c r="O3" s="34" t="s">
        <v>167</v>
      </c>
      <c r="P3" s="35">
        <f t="shared" ref="P3:P10" si="26">E3*8760/1000</f>
        <v>343.26953551912595</v>
      </c>
      <c r="Q3" s="35">
        <f t="shared" si="0"/>
        <v>102.14913934426225</v>
      </c>
      <c r="R3" s="35">
        <f t="shared" si="0"/>
        <v>430.09166666666647</v>
      </c>
      <c r="S3" s="35">
        <f t="shared" si="0"/>
        <v>2004.3755601092901</v>
      </c>
      <c r="T3" s="35">
        <f t="shared" si="0"/>
        <v>6752.0213114754088</v>
      </c>
      <c r="U3" s="35">
        <f t="shared" si="0"/>
        <v>614.47370399999988</v>
      </c>
      <c r="V3" s="35">
        <f t="shared" si="0"/>
        <v>229.82035199999999</v>
      </c>
      <c r="W3" s="35">
        <f t="shared" si="0"/>
        <v>679.62795600000004</v>
      </c>
      <c r="X3" s="35"/>
      <c r="Y3" s="35">
        <f t="shared" si="1"/>
        <v>1132.502436</v>
      </c>
      <c r="Z3" s="27">
        <v>4.26</v>
      </c>
      <c r="AA3" s="27">
        <v>8.9994240187383306E-2</v>
      </c>
      <c r="AB3" s="27">
        <v>1.1728642755891701</v>
      </c>
      <c r="AC3" s="34" t="s">
        <v>167</v>
      </c>
      <c r="AD3" s="36">
        <f t="shared" si="2"/>
        <v>1.5674408014571959E-2</v>
      </c>
      <c r="AE3" s="36">
        <f t="shared" si="3"/>
        <v>4.6643442622950802E-2</v>
      </c>
      <c r="AF3" s="36">
        <f t="shared" si="4"/>
        <v>0.1363811728395061</v>
      </c>
      <c r="AG3" s="36">
        <f t="shared" si="5"/>
        <v>0.38134999241044332</v>
      </c>
      <c r="AH3" s="36">
        <f t="shared" si="6"/>
        <v>0.13064045568213389</v>
      </c>
      <c r="AI3" s="36">
        <f t="shared" si="7"/>
        <v>1.9555450236966823E-2</v>
      </c>
      <c r="AJ3" s="36">
        <f t="shared" si="8"/>
        <v>9.369714285714285E-3</v>
      </c>
      <c r="AK3" s="36">
        <f t="shared" si="9"/>
        <v>4.6596456456456457E-2</v>
      </c>
      <c r="AL3" s="36">
        <f t="shared" si="10"/>
        <v>5.1712440000000005E-2</v>
      </c>
      <c r="AM3" s="36"/>
      <c r="AN3" s="36"/>
      <c r="AO3" s="36">
        <f t="shared" si="11"/>
        <v>4.7432573651944997E-2</v>
      </c>
      <c r="AP3" s="36">
        <f t="shared" si="11"/>
        <v>1.4114845840025184E-2</v>
      </c>
      <c r="AQ3" s="36">
        <f t="shared" si="11"/>
        <v>5.9429551840081037E-2</v>
      </c>
      <c r="AR3" s="36">
        <f t="shared" si="11"/>
        <v>0.27696221640310764</v>
      </c>
      <c r="AS3" s="36">
        <f t="shared" si="11"/>
        <v>0.93298622515896212</v>
      </c>
      <c r="AT3" s="36">
        <f t="shared" si="11"/>
        <v>8.4907241122011867E-2</v>
      </c>
      <c r="AU3" s="36">
        <f t="shared" si="11"/>
        <v>3.1756301229791346E-2</v>
      </c>
      <c r="AV3" s="36">
        <f t="shared" si="11"/>
        <v>9.3910177697941147E-2</v>
      </c>
      <c r="AW3" s="36">
        <f t="shared" si="12"/>
        <v>0.15648783142185987</v>
      </c>
      <c r="AY3" s="27">
        <f t="shared" si="13"/>
        <v>1.0985915492957747</v>
      </c>
      <c r="AZ3" s="27">
        <f t="shared" si="14"/>
        <v>1.2832985624783839</v>
      </c>
      <c r="BC3" s="34" t="s">
        <v>167</v>
      </c>
      <c r="BD3" s="37">
        <f t="shared" si="15"/>
        <v>6.3646772178906877E-4</v>
      </c>
      <c r="BE3" s="37">
        <f t="shared" si="16"/>
        <v>5.6360557766890686E-4</v>
      </c>
      <c r="BF3" s="37">
        <f t="shared" si="17"/>
        <v>6.9384972799065902E-3</v>
      </c>
      <c r="BG3" s="37">
        <f t="shared" si="18"/>
        <v>9.0417566507117034E-2</v>
      </c>
      <c r="BH3" s="37">
        <f t="shared" si="19"/>
        <v>0.10434255442247728</v>
      </c>
      <c r="BI3" s="37">
        <f t="shared" si="20"/>
        <v>1.4214156581343381E-3</v>
      </c>
      <c r="BJ3" s="37">
        <f t="shared" si="21"/>
        <v>2.5472103284342488E-4</v>
      </c>
      <c r="BK3" s="37">
        <f t="shared" si="22"/>
        <v>1.2601213101107846E-3</v>
      </c>
      <c r="BL3" s="37">
        <f t="shared" si="23"/>
        <v>6.9276214526739939E-3</v>
      </c>
      <c r="BO3" s="35">
        <f t="shared" ref="BO3:BO11" si="27">P3/8760*1000</f>
        <v>39.186020036429902</v>
      </c>
      <c r="BP3" s="35">
        <f t="shared" ref="BP3:BP11" si="28">Q3/8760*1000</f>
        <v>11.6608606557377</v>
      </c>
      <c r="BQ3" s="35">
        <f t="shared" ref="BQ3:BQ11" si="29">R3/8760*1000</f>
        <v>49.0972222222222</v>
      </c>
      <c r="BR3" s="35">
        <f t="shared" ref="BR3:BR11" si="30">S3/8760*1000</f>
        <v>228.80999544626599</v>
      </c>
      <c r="BS3" s="35">
        <f t="shared" ref="BS3:BS11" si="31">T3/8760*1000</f>
        <v>770.77868852459005</v>
      </c>
      <c r="BT3" s="35">
        <f t="shared" ref="BT3:BT11" si="32">U3/8760*1000</f>
        <v>70.145399999999981</v>
      </c>
      <c r="BU3" s="35">
        <f t="shared" ref="BU3:BU11" si="33">V3/8760*1000</f>
        <v>26.235199999999995</v>
      </c>
      <c r="BV3" s="35">
        <f t="shared" ref="BV3:BV11" si="34">W3/8760*1000</f>
        <v>77.583100000000002</v>
      </c>
      <c r="BW3" s="35"/>
      <c r="BX3" s="34" t="s">
        <v>167</v>
      </c>
      <c r="BY3" s="64">
        <v>31.97</v>
      </c>
      <c r="BZ3" s="35"/>
      <c r="CA3" s="34" t="s">
        <v>167</v>
      </c>
      <c r="CB3" s="36">
        <f t="shared" ref="CB3:CB11" si="35">48.04/BY3</f>
        <v>1.5026587425711604</v>
      </c>
      <c r="CC3" s="36">
        <v>1.5026587425711604</v>
      </c>
      <c r="CD3" s="36">
        <v>1.5026587425711604</v>
      </c>
      <c r="CE3" s="36">
        <v>1.5026587425711604</v>
      </c>
      <c r="CF3" s="36">
        <v>1.5026587425711604</v>
      </c>
      <c r="CG3" s="36">
        <v>1.5026587425711604</v>
      </c>
      <c r="CH3" s="36">
        <v>1.5026587425711604</v>
      </c>
      <c r="CI3" s="36">
        <v>1.5026587425711604</v>
      </c>
      <c r="CJ3" s="36">
        <v>1.5026587425711604</v>
      </c>
      <c r="CK3" s="36"/>
      <c r="CL3" s="34" t="s">
        <v>167</v>
      </c>
      <c r="CM3" s="37">
        <f t="shared" ref="CM3:CM11" si="36">AD3*AO3*AZ18*CB3/AZ32</f>
        <v>9.5639378651069321E-4</v>
      </c>
      <c r="CN3" s="37">
        <f t="shared" ref="CN3:CN11" si="37">AE3*AP3*BA18*CC3/BA32</f>
        <v>8.4690684864605211E-4</v>
      </c>
      <c r="CO3" s="37">
        <f t="shared" ref="CO3:CO11" si="38">AF3*AQ3*BB18*CD3/BB32</f>
        <v>1.0426193597957854E-2</v>
      </c>
      <c r="CP3" s="37">
        <f t="shared" ref="CP3:CP11" si="39">AG3*AR3*BC18*CE3/BC32</f>
        <v>0.13586674679392874</v>
      </c>
      <c r="CQ3" s="37">
        <f t="shared" ref="CQ3:CQ11" si="40">AH3*AS3*BD18*CF3/BD32</f>
        <v>0.1567912516251426</v>
      </c>
      <c r="CR3" s="37">
        <f t="shared" ref="CR3:CR11" si="41">AI3*AT3*BE18*CG3/BE32</f>
        <v>2.1359026655231031E-3</v>
      </c>
      <c r="CS3" s="37">
        <f t="shared" ref="CS3:CS11" si="42">AJ3*AU3*BF18*CH3/BF32</f>
        <v>3.8275878691892816E-4</v>
      </c>
      <c r="CT3" s="37">
        <f t="shared" ref="CT3:CT11" si="43">AK3*AV3*BG18*CI3/BG32</f>
        <v>5.6290416479758427E-3</v>
      </c>
      <c r="CU3" s="37">
        <f t="shared" ref="CU3:CU11" si="44">AL3*AW3*BH18*CJ3/BH32</f>
        <v>1.04098509410841E-2</v>
      </c>
    </row>
    <row r="4" spans="1:99" ht="15.75" x14ac:dyDescent="0.2">
      <c r="A4" s="34" t="s">
        <v>15</v>
      </c>
      <c r="B4" s="34">
        <v>122.7</v>
      </c>
      <c r="C4" s="34">
        <v>29.84</v>
      </c>
      <c r="E4" s="35">
        <v>40.859175774134798</v>
      </c>
      <c r="F4" s="35">
        <v>12.268897996357</v>
      </c>
      <c r="G4" s="35">
        <v>50.170651183970897</v>
      </c>
      <c r="H4" s="35">
        <v>232.56170309653899</v>
      </c>
      <c r="I4" s="35">
        <v>788.55191256830597</v>
      </c>
      <c r="J4" s="35">
        <v>72.749300000000005</v>
      </c>
      <c r="K4" s="35">
        <v>27.689800000000002</v>
      </c>
      <c r="L4" s="35">
        <v>79.884600000000006</v>
      </c>
      <c r="M4" s="35">
        <v>140.65860000000001</v>
      </c>
      <c r="O4" s="34" t="s">
        <v>15</v>
      </c>
      <c r="P4" s="35">
        <f t="shared" si="26"/>
        <v>357.92637978142079</v>
      </c>
      <c r="Q4" s="35">
        <f t="shared" si="0"/>
        <v>107.47554644808731</v>
      </c>
      <c r="R4" s="35">
        <f t="shared" si="0"/>
        <v>439.49490437158505</v>
      </c>
      <c r="S4" s="35">
        <f t="shared" si="0"/>
        <v>2037.2405191256817</v>
      </c>
      <c r="T4" s="35">
        <f t="shared" si="0"/>
        <v>6907.7147540983606</v>
      </c>
      <c r="U4" s="35">
        <f t="shared" si="0"/>
        <v>637.28386799999998</v>
      </c>
      <c r="V4" s="35">
        <f t="shared" si="0"/>
        <v>242.56264800000002</v>
      </c>
      <c r="W4" s="35">
        <f t="shared" si="0"/>
        <v>699.78909599999997</v>
      </c>
      <c r="X4" s="35"/>
      <c r="Y4" s="35">
        <f t="shared" si="1"/>
        <v>1232.1693360000002</v>
      </c>
      <c r="Z4" s="27">
        <v>4.1900000000000004</v>
      </c>
      <c r="AA4" s="27">
        <v>8.6601147373140702E-2</v>
      </c>
      <c r="AB4" s="27">
        <v>1.1875240470286901</v>
      </c>
      <c r="AC4" s="34" t="s">
        <v>15</v>
      </c>
      <c r="AD4" s="36">
        <f t="shared" si="2"/>
        <v>1.6343670309653918E-2</v>
      </c>
      <c r="AE4" s="36">
        <f t="shared" si="3"/>
        <v>4.9075591985427998E-2</v>
      </c>
      <c r="AF4" s="36">
        <f t="shared" si="4"/>
        <v>0.1393629199554747</v>
      </c>
      <c r="AG4" s="36">
        <f t="shared" si="5"/>
        <v>0.38760283849423166</v>
      </c>
      <c r="AH4" s="36">
        <f t="shared" si="6"/>
        <v>0.13365286653700101</v>
      </c>
      <c r="AI4" s="36">
        <f t="shared" si="7"/>
        <v>2.0281377195427934E-2</v>
      </c>
      <c r="AJ4" s="36">
        <f t="shared" si="8"/>
        <v>9.8892142857142859E-3</v>
      </c>
      <c r="AK4" s="36">
        <f t="shared" si="9"/>
        <v>4.7978738738738744E-2</v>
      </c>
      <c r="AL4" s="36">
        <f t="shared" si="10"/>
        <v>5.6263440000000005E-2</v>
      </c>
      <c r="AM4" s="36"/>
      <c r="AN4" s="36"/>
      <c r="AO4" s="36">
        <f t="shared" si="11"/>
        <v>4.9457838853312258E-2</v>
      </c>
      <c r="AP4" s="36">
        <f t="shared" si="11"/>
        <v>1.4850842399901521E-2</v>
      </c>
      <c r="AQ4" s="36">
        <f t="shared" si="11"/>
        <v>6.0728879973965047E-2</v>
      </c>
      <c r="AR4" s="36">
        <f t="shared" si="11"/>
        <v>0.28150345711284808</v>
      </c>
      <c r="AS4" s="36">
        <f t="shared" si="11"/>
        <v>0.95449975875340065</v>
      </c>
      <c r="AT4" s="36">
        <f t="shared" si="11"/>
        <v>8.8059122288240976E-2</v>
      </c>
      <c r="AU4" s="36">
        <f t="shared" si="11"/>
        <v>3.3517016443277606E-2</v>
      </c>
      <c r="AV4" s="36">
        <f t="shared" si="11"/>
        <v>9.6696019897747676E-2</v>
      </c>
      <c r="AW4" s="36">
        <f t="shared" si="12"/>
        <v>0.17025968439961311</v>
      </c>
      <c r="AY4" s="27">
        <f t="shared" si="13"/>
        <v>1.1169451073985679</v>
      </c>
      <c r="AZ4" s="27">
        <f t="shared" si="14"/>
        <v>1.2949378154581965</v>
      </c>
      <c r="BC4" s="34" t="s">
        <v>15</v>
      </c>
      <c r="BD4" s="37">
        <f t="shared" si="15"/>
        <v>6.9721648128123856E-4</v>
      </c>
      <c r="BE4" s="37">
        <f t="shared" si="16"/>
        <v>6.2863644128238576E-4</v>
      </c>
      <c r="BF4" s="37">
        <f t="shared" si="17"/>
        <v>7.3000431163342946E-3</v>
      </c>
      <c r="BG4" s="37">
        <f t="shared" si="18"/>
        <v>9.4113862625295336E-2</v>
      </c>
      <c r="BH4" s="37">
        <f t="shared" si="19"/>
        <v>0.1100365631492702</v>
      </c>
      <c r="BI4" s="37">
        <f t="shared" si="20"/>
        <v>1.5404752003832852E-3</v>
      </c>
      <c r="BJ4" s="37">
        <f t="shared" si="21"/>
        <v>2.8589730173666768E-4</v>
      </c>
      <c r="BK4" s="37">
        <f t="shared" si="22"/>
        <v>1.3631420278383878E-3</v>
      </c>
      <c r="BL4" s="37">
        <f t="shared" si="23"/>
        <v>8.2626816900956048E-3</v>
      </c>
      <c r="BO4" s="35">
        <f t="shared" si="27"/>
        <v>40.859175774134798</v>
      </c>
      <c r="BP4" s="35">
        <f t="shared" si="28"/>
        <v>12.268897996357</v>
      </c>
      <c r="BQ4" s="35">
        <f t="shared" si="29"/>
        <v>50.170651183970897</v>
      </c>
      <c r="BR4" s="35">
        <f t="shared" si="30"/>
        <v>232.56170309653902</v>
      </c>
      <c r="BS4" s="35">
        <f t="shared" si="31"/>
        <v>788.55191256830608</v>
      </c>
      <c r="BT4" s="35">
        <f t="shared" si="32"/>
        <v>72.749300000000005</v>
      </c>
      <c r="BU4" s="35">
        <f t="shared" si="33"/>
        <v>27.689800000000005</v>
      </c>
      <c r="BV4" s="35">
        <f t="shared" si="34"/>
        <v>79.884600000000006</v>
      </c>
      <c r="BW4" s="35"/>
      <c r="BX4" s="34" t="s">
        <v>15</v>
      </c>
      <c r="BY4" s="64">
        <v>22.02</v>
      </c>
      <c r="BZ4" s="35"/>
      <c r="CA4" s="34" t="s">
        <v>15</v>
      </c>
      <c r="CB4" s="36">
        <f t="shared" si="35"/>
        <v>2.181653042688465</v>
      </c>
      <c r="CC4" s="36">
        <v>2.181653042688465</v>
      </c>
      <c r="CD4" s="36">
        <v>2.181653042688465</v>
      </c>
      <c r="CE4" s="36">
        <v>2.181653042688465</v>
      </c>
      <c r="CF4" s="36">
        <v>2.181653042688465</v>
      </c>
      <c r="CG4" s="36">
        <v>2.181653042688465</v>
      </c>
      <c r="CH4" s="36">
        <v>2.181653042688465</v>
      </c>
      <c r="CI4" s="36">
        <v>2.181653042688465</v>
      </c>
      <c r="CJ4" s="36">
        <v>2.181653042688465</v>
      </c>
      <c r="CK4" s="36"/>
      <c r="CL4" s="34" t="s">
        <v>15</v>
      </c>
      <c r="CM4" s="37">
        <f t="shared" si="36"/>
        <v>1.5210844577997593E-3</v>
      </c>
      <c r="CN4" s="37">
        <f t="shared" si="37"/>
        <v>1.3714666048685654E-3</v>
      </c>
      <c r="CO4" s="37">
        <f t="shared" si="38"/>
        <v>1.5926161276507696E-2</v>
      </c>
      <c r="CP4" s="37">
        <f t="shared" si="39"/>
        <v>0.2053237947556398</v>
      </c>
      <c r="CQ4" s="37">
        <f t="shared" si="40"/>
        <v>0.24006160280158678</v>
      </c>
      <c r="CR4" s="37">
        <f t="shared" si="41"/>
        <v>3.3607824081023177E-3</v>
      </c>
      <c r="CS4" s="37">
        <f t="shared" si="42"/>
        <v>6.2372871823022328E-4</v>
      </c>
      <c r="CT4" s="37">
        <f t="shared" si="43"/>
        <v>8.730236849876E-3</v>
      </c>
      <c r="CU4" s="37">
        <f t="shared" si="44"/>
        <v>1.8026304649963344E-2</v>
      </c>
    </row>
    <row r="5" spans="1:99" ht="15.75" x14ac:dyDescent="0.2">
      <c r="A5" s="34" t="s">
        <v>16</v>
      </c>
      <c r="B5" s="34">
        <v>122.8</v>
      </c>
      <c r="C5" s="34">
        <v>30</v>
      </c>
      <c r="E5" s="35">
        <v>40.7152777777778</v>
      </c>
      <c r="F5" s="35">
        <v>12.331739526411701</v>
      </c>
      <c r="G5" s="35">
        <v>51.1146402550091</v>
      </c>
      <c r="H5" s="35">
        <v>236.76741803278699</v>
      </c>
      <c r="I5" s="35">
        <v>790.63979963570205</v>
      </c>
      <c r="J5" s="35">
        <v>75.415499999999994</v>
      </c>
      <c r="K5" s="35">
        <v>27.794699999999999</v>
      </c>
      <c r="L5" s="35">
        <v>81.136600000000001</v>
      </c>
      <c r="M5" s="35">
        <v>144.37360000000001</v>
      </c>
      <c r="O5" s="34" t="s">
        <v>16</v>
      </c>
      <c r="P5" s="35">
        <f t="shared" si="26"/>
        <v>356.66583333333352</v>
      </c>
      <c r="Q5" s="35">
        <f>F5*8760/1000</f>
        <v>108.0260382513665</v>
      </c>
      <c r="R5" s="35">
        <f t="shared" si="0"/>
        <v>447.76424863387967</v>
      </c>
      <c r="S5" s="35">
        <f t="shared" si="0"/>
        <v>2074.0825819672141</v>
      </c>
      <c r="T5" s="35">
        <f t="shared" si="0"/>
        <v>6926.0046448087496</v>
      </c>
      <c r="U5" s="35">
        <f t="shared" si="0"/>
        <v>660.63977999999986</v>
      </c>
      <c r="V5" s="35">
        <f t="shared" si="0"/>
        <v>243.48157199999997</v>
      </c>
      <c r="W5" s="35">
        <f t="shared" si="0"/>
        <v>710.75661600000001</v>
      </c>
      <c r="X5" s="35"/>
      <c r="Y5" s="35">
        <f t="shared" si="1"/>
        <v>1264.7127359999999</v>
      </c>
      <c r="Z5" s="27">
        <v>4.18</v>
      </c>
      <c r="AA5" s="27">
        <v>8.23881950884853E-2</v>
      </c>
      <c r="AB5" s="27">
        <v>1.1672393425605201</v>
      </c>
      <c r="AC5" s="34" t="s">
        <v>16</v>
      </c>
      <c r="AD5" s="36">
        <f t="shared" si="2"/>
        <v>1.6286111111111119E-2</v>
      </c>
      <c r="AE5" s="36">
        <f t="shared" si="3"/>
        <v>4.9326958105646801E-2</v>
      </c>
      <c r="AF5" s="36">
        <f t="shared" si="4"/>
        <v>0.14198511181946971</v>
      </c>
      <c r="AG5" s="36">
        <f t="shared" si="5"/>
        <v>0.39461236338797834</v>
      </c>
      <c r="AH5" s="36">
        <f t="shared" si="6"/>
        <v>0.13400674570096646</v>
      </c>
      <c r="AI5" s="36">
        <f t="shared" si="7"/>
        <v>2.1024672428212991E-2</v>
      </c>
      <c r="AJ5" s="36">
        <f t="shared" si="8"/>
        <v>9.9266785714285707E-3</v>
      </c>
      <c r="AK5" s="36">
        <f t="shared" si="9"/>
        <v>4.8730690690690692E-2</v>
      </c>
      <c r="AL5" s="36">
        <f t="shared" si="10"/>
        <v>5.7749440000000006E-2</v>
      </c>
      <c r="AM5" s="36"/>
      <c r="AN5" s="36"/>
      <c r="AO5" s="36">
        <f t="shared" si="11"/>
        <v>4.9283658053521286E-2</v>
      </c>
      <c r="AP5" s="36">
        <f t="shared" si="11"/>
        <v>1.4926908698544494E-2</v>
      </c>
      <c r="AQ5" s="36">
        <f t="shared" si="11"/>
        <v>6.1871528068796415E-2</v>
      </c>
      <c r="AR5" s="36">
        <f t="shared" si="11"/>
        <v>0.28659424927003097</v>
      </c>
      <c r="AS5" s="36">
        <f t="shared" si="11"/>
        <v>0.95702703396555888</v>
      </c>
      <c r="AT5" s="36">
        <f t="shared" si="11"/>
        <v>9.128641426005249E-2</v>
      </c>
      <c r="AU5" s="36">
        <f t="shared" si="11"/>
        <v>3.3643992261987006E-2</v>
      </c>
      <c r="AV5" s="36">
        <f t="shared" si="11"/>
        <v>9.8211498687301363E-2</v>
      </c>
      <c r="AW5" s="36">
        <f t="shared" si="12"/>
        <v>0.1747564924692552</v>
      </c>
      <c r="AY5" s="27">
        <f t="shared" si="13"/>
        <v>1.1196172248803828</v>
      </c>
      <c r="AZ5" s="27">
        <f t="shared" si="14"/>
        <v>1.2674678321323023</v>
      </c>
      <c r="BC5" s="34" t="s">
        <v>16</v>
      </c>
      <c r="BD5" s="37">
        <f t="shared" si="15"/>
        <v>7.0901096948791241E-4</v>
      </c>
      <c r="BE5" s="37">
        <f t="shared" si="16"/>
        <v>6.5040944013358758E-4</v>
      </c>
      <c r="BF5" s="37">
        <f t="shared" si="17"/>
        <v>7.7600813725672881E-3</v>
      </c>
      <c r="BG5" s="37">
        <f t="shared" si="18"/>
        <v>9.9901218384435025E-2</v>
      </c>
      <c r="BH5" s="37">
        <f t="shared" si="19"/>
        <v>0.11328789099035275</v>
      </c>
      <c r="BI5" s="37">
        <f t="shared" si="20"/>
        <v>1.6953837325759233E-3</v>
      </c>
      <c r="BJ5" s="37">
        <f t="shared" si="21"/>
        <v>2.950150075749606E-4</v>
      </c>
      <c r="BK5" s="37">
        <f t="shared" si="22"/>
        <v>1.4129030321475731E-3</v>
      </c>
      <c r="BL5" s="37">
        <f t="shared" si="23"/>
        <v>8.9148434685205318E-3</v>
      </c>
      <c r="BO5" s="35">
        <f t="shared" si="27"/>
        <v>40.7152777777778</v>
      </c>
      <c r="BP5" s="35">
        <f t="shared" si="28"/>
        <v>12.331739526411701</v>
      </c>
      <c r="BQ5" s="35">
        <f t="shared" si="29"/>
        <v>51.114640255009093</v>
      </c>
      <c r="BR5" s="35">
        <f t="shared" si="30"/>
        <v>236.76741803278699</v>
      </c>
      <c r="BS5" s="35">
        <f t="shared" si="31"/>
        <v>790.63979963570193</v>
      </c>
      <c r="BT5" s="35">
        <f t="shared" si="32"/>
        <v>75.41549999999998</v>
      </c>
      <c r="BU5" s="35">
        <f t="shared" si="33"/>
        <v>27.794699999999995</v>
      </c>
      <c r="BV5" s="35">
        <f t="shared" si="34"/>
        <v>81.136600000000001</v>
      </c>
      <c r="BW5" s="35"/>
      <c r="BX5" s="34" t="s">
        <v>16</v>
      </c>
      <c r="BY5" s="64">
        <v>41.14</v>
      </c>
      <c r="BZ5" s="35"/>
      <c r="CA5" s="34" t="s">
        <v>16</v>
      </c>
      <c r="CB5" s="36">
        <f t="shared" si="35"/>
        <v>1.1677199805542051</v>
      </c>
      <c r="CC5" s="36">
        <v>1.1677199805542051</v>
      </c>
      <c r="CD5" s="36">
        <v>1.1677199805542051</v>
      </c>
      <c r="CE5" s="36">
        <v>1.1677199805542051</v>
      </c>
      <c r="CF5" s="36">
        <v>1.1677199805542051</v>
      </c>
      <c r="CG5" s="36">
        <v>1.1677199805542051</v>
      </c>
      <c r="CH5" s="36">
        <v>1.1677199805542051</v>
      </c>
      <c r="CI5" s="36">
        <v>1.1677199805542051</v>
      </c>
      <c r="CJ5" s="36">
        <v>1.1677199805542051</v>
      </c>
      <c r="CK5" s="36"/>
      <c r="CL5" s="34" t="s">
        <v>16</v>
      </c>
      <c r="CM5" s="37">
        <f t="shared" si="36"/>
        <v>8.2792627550314318E-4</v>
      </c>
      <c r="CN5" s="37">
        <f t="shared" si="37"/>
        <v>7.5949609878506435E-4</v>
      </c>
      <c r="CO5" s="37">
        <f t="shared" si="38"/>
        <v>9.0616020694733231E-3</v>
      </c>
      <c r="CP5" s="37">
        <f t="shared" si="39"/>
        <v>0.11665664878921386</v>
      </c>
      <c r="CQ5" s="37">
        <f t="shared" si="40"/>
        <v>0.1322885338642816</v>
      </c>
      <c r="CR5" s="37">
        <f t="shared" si="41"/>
        <v>1.979733459235473E-3</v>
      </c>
      <c r="CS5" s="37">
        <f t="shared" si="42"/>
        <v>3.4449491890863168E-4</v>
      </c>
      <c r="CT5" s="37">
        <f t="shared" si="43"/>
        <v>4.936694382563998E-3</v>
      </c>
      <c r="CU5" s="37">
        <f t="shared" si="44"/>
        <v>1.0410040841704578E-2</v>
      </c>
    </row>
    <row r="6" spans="1:99" ht="15.75" x14ac:dyDescent="0.2">
      <c r="A6" s="34" t="s">
        <v>17</v>
      </c>
      <c r="B6" s="34">
        <v>122.9</v>
      </c>
      <c r="C6" s="34">
        <v>30.14</v>
      </c>
      <c r="E6" s="35">
        <v>43.598132969034602</v>
      </c>
      <c r="F6" s="35">
        <v>13.1247723132969</v>
      </c>
      <c r="G6" s="35">
        <v>52.754439890710401</v>
      </c>
      <c r="H6" s="35">
        <v>242.37374772313299</v>
      </c>
      <c r="I6" s="35">
        <v>819.81819216757697</v>
      </c>
      <c r="J6" s="35">
        <v>79.906899999999993</v>
      </c>
      <c r="K6" s="35">
        <v>29.570399999999999</v>
      </c>
      <c r="L6" s="35">
        <v>84.0077</v>
      </c>
      <c r="M6" s="35">
        <v>167.07490000000001</v>
      </c>
      <c r="O6" s="34" t="s">
        <v>17</v>
      </c>
      <c r="P6" s="35">
        <f t="shared" si="26"/>
        <v>381.9196448087431</v>
      </c>
      <c r="Q6" s="35">
        <f t="shared" si="0"/>
        <v>114.97300546448083</v>
      </c>
      <c r="R6" s="35">
        <f t="shared" si="0"/>
        <v>462.12889344262311</v>
      </c>
      <c r="S6" s="35">
        <f t="shared" si="0"/>
        <v>2123.1940300546453</v>
      </c>
      <c r="T6" s="35">
        <f t="shared" si="0"/>
        <v>7181.6073633879741</v>
      </c>
      <c r="U6" s="35">
        <f t="shared" si="0"/>
        <v>699.98444399999994</v>
      </c>
      <c r="V6" s="35">
        <f t="shared" si="0"/>
        <v>259.03670399999999</v>
      </c>
      <c r="W6" s="35">
        <f t="shared" si="0"/>
        <v>735.90745200000003</v>
      </c>
      <c r="X6" s="35"/>
      <c r="Y6" s="35">
        <f t="shared" si="1"/>
        <v>1463.5761240000002</v>
      </c>
      <c r="Z6" s="27">
        <v>4.1900000000000004</v>
      </c>
      <c r="AA6" s="27">
        <v>8.0802485483036701E-2</v>
      </c>
      <c r="AB6" s="27">
        <v>1.14543307493297</v>
      </c>
      <c r="AC6" s="34" t="s">
        <v>17</v>
      </c>
      <c r="AD6" s="36">
        <f t="shared" si="2"/>
        <v>1.7439253187613839E-2</v>
      </c>
      <c r="AE6" s="36">
        <f t="shared" si="3"/>
        <v>5.2499089253187602E-2</v>
      </c>
      <c r="AF6" s="36">
        <f t="shared" si="4"/>
        <v>0.14654011080752888</v>
      </c>
      <c r="AG6" s="36">
        <f t="shared" si="5"/>
        <v>0.40395624620522164</v>
      </c>
      <c r="AH6" s="36">
        <f t="shared" si="6"/>
        <v>0.13895223596060627</v>
      </c>
      <c r="AI6" s="36">
        <f t="shared" si="7"/>
        <v>2.2276805129634789E-2</v>
      </c>
      <c r="AJ6" s="36">
        <f t="shared" si="8"/>
        <v>1.0560857142857143E-2</v>
      </c>
      <c r="AK6" s="36">
        <f t="shared" si="9"/>
        <v>5.0455075075075073E-2</v>
      </c>
      <c r="AL6" s="36">
        <f t="shared" si="10"/>
        <v>6.6829960000000008E-2</v>
      </c>
      <c r="AM6" s="36"/>
      <c r="AN6" s="36"/>
      <c r="AO6" s="36">
        <f t="shared" si="11"/>
        <v>5.2773199503764419E-2</v>
      </c>
      <c r="AP6" s="36">
        <f t="shared" si="11"/>
        <v>1.5886832315114112E-2</v>
      </c>
      <c r="AQ6" s="36">
        <f t="shared" si="11"/>
        <v>6.3856417499326121E-2</v>
      </c>
      <c r="AR6" s="36">
        <f t="shared" si="11"/>
        <v>0.29338041039859686</v>
      </c>
      <c r="AS6" s="36">
        <f t="shared" si="11"/>
        <v>0.99234591175735443</v>
      </c>
      <c r="AT6" s="36">
        <f t="shared" si="11"/>
        <v>9.6723012850628703E-2</v>
      </c>
      <c r="AU6" s="36">
        <f t="shared" si="11"/>
        <v>3.5793381788033714E-2</v>
      </c>
      <c r="AV6" s="36">
        <f t="shared" si="11"/>
        <v>0.10168681110957579</v>
      </c>
      <c r="AW6" s="36">
        <f t="shared" si="12"/>
        <v>0.20223519745751004</v>
      </c>
      <c r="AY6" s="27">
        <f t="shared" si="13"/>
        <v>1.1169451073985679</v>
      </c>
      <c r="AZ6" s="27">
        <f t="shared" si="14"/>
        <v>1.2418185830114639</v>
      </c>
      <c r="BC6" s="34" t="s">
        <v>17</v>
      </c>
      <c r="BD6" s="37">
        <f t="shared" si="15"/>
        <v>8.2778010382728625E-4</v>
      </c>
      <c r="BE6" s="37">
        <f t="shared" si="16"/>
        <v>7.5017529306214471E-4</v>
      </c>
      <c r="BF6" s="37">
        <f t="shared" si="17"/>
        <v>8.4165622742179962E-3</v>
      </c>
      <c r="BG6" s="37">
        <f t="shared" si="18"/>
        <v>0.1065955599268312</v>
      </c>
      <c r="BH6" s="37">
        <f t="shared" si="19"/>
        <v>0.12402301935873551</v>
      </c>
      <c r="BI6" s="37">
        <f t="shared" si="20"/>
        <v>1.9380117125855653E-3</v>
      </c>
      <c r="BJ6" s="37">
        <f t="shared" si="21"/>
        <v>3.3999738467832205E-4</v>
      </c>
      <c r="BK6" s="37">
        <f t="shared" si="22"/>
        <v>1.5950201967979212E-3</v>
      </c>
      <c r="BL6" s="37">
        <f t="shared" si="23"/>
        <v>1.2156305903051695E-2</v>
      </c>
      <c r="BO6" s="35">
        <f t="shared" si="27"/>
        <v>43.598132969034602</v>
      </c>
      <c r="BP6" s="35">
        <f t="shared" si="28"/>
        <v>13.124772313296898</v>
      </c>
      <c r="BQ6" s="35">
        <f t="shared" si="29"/>
        <v>52.754439890710401</v>
      </c>
      <c r="BR6" s="35">
        <f t="shared" si="30"/>
        <v>242.37374772313302</v>
      </c>
      <c r="BS6" s="38">
        <f t="shared" si="31"/>
        <v>819.81819216757697</v>
      </c>
      <c r="BT6" s="35">
        <f t="shared" si="32"/>
        <v>79.906899999999993</v>
      </c>
      <c r="BU6" s="35">
        <f t="shared" si="33"/>
        <v>29.570399999999996</v>
      </c>
      <c r="BV6" s="35">
        <f t="shared" si="34"/>
        <v>84.0077</v>
      </c>
      <c r="BW6" s="35"/>
      <c r="BX6" s="34" t="s">
        <v>17</v>
      </c>
      <c r="BY6" s="64">
        <v>48.04</v>
      </c>
      <c r="BZ6" s="35"/>
      <c r="CA6" s="34" t="s">
        <v>17</v>
      </c>
      <c r="CB6" s="36">
        <f t="shared" si="35"/>
        <v>1</v>
      </c>
      <c r="CC6" s="36">
        <v>1</v>
      </c>
      <c r="CD6" s="36">
        <v>1</v>
      </c>
      <c r="CE6" s="36">
        <v>1</v>
      </c>
      <c r="CF6" s="36">
        <v>1</v>
      </c>
      <c r="CG6" s="36">
        <v>1</v>
      </c>
      <c r="CH6" s="36">
        <v>1</v>
      </c>
      <c r="CI6" s="36">
        <v>1</v>
      </c>
      <c r="CJ6" s="36">
        <v>1</v>
      </c>
      <c r="CK6" s="36"/>
      <c r="CL6" s="34" t="s">
        <v>17</v>
      </c>
      <c r="CM6" s="37">
        <f t="shared" si="36"/>
        <v>8.2778010382728625E-4</v>
      </c>
      <c r="CN6" s="37">
        <f t="shared" si="37"/>
        <v>7.5017529306214471E-4</v>
      </c>
      <c r="CO6" s="37">
        <f t="shared" si="38"/>
        <v>8.4165622742179962E-3</v>
      </c>
      <c r="CP6" s="37">
        <f t="shared" si="39"/>
        <v>0.1065955599268312</v>
      </c>
      <c r="CQ6" s="37">
        <f t="shared" si="40"/>
        <v>0.12402301935873551</v>
      </c>
      <c r="CR6" s="37">
        <f t="shared" si="41"/>
        <v>1.9380117125855653E-3</v>
      </c>
      <c r="CS6" s="37">
        <f t="shared" si="42"/>
        <v>3.3999738467832205E-4</v>
      </c>
      <c r="CT6" s="37">
        <f t="shared" si="43"/>
        <v>4.6146966793772174E-3</v>
      </c>
      <c r="CU6" s="37">
        <f t="shared" si="44"/>
        <v>1.2156305903051695E-2</v>
      </c>
    </row>
    <row r="7" spans="1:99" ht="15.75" x14ac:dyDescent="0.2">
      <c r="A7" s="34" t="s">
        <v>18</v>
      </c>
      <c r="B7" s="34">
        <v>122.9</v>
      </c>
      <c r="C7" s="34">
        <v>30.38</v>
      </c>
      <c r="E7" s="35">
        <v>44.279940801457201</v>
      </c>
      <c r="F7" s="35">
        <v>13.366689435336999</v>
      </c>
      <c r="G7" s="35">
        <v>52.583561020036399</v>
      </c>
      <c r="H7" s="35">
        <v>240.66438979963601</v>
      </c>
      <c r="I7" s="35">
        <v>826.11350182149397</v>
      </c>
      <c r="J7" s="35">
        <v>79.874099999999999</v>
      </c>
      <c r="K7" s="35">
        <v>30.054600000000001</v>
      </c>
      <c r="L7" s="35">
        <v>84.376000000000005</v>
      </c>
      <c r="M7" s="35">
        <v>172.8519</v>
      </c>
      <c r="O7" s="34" t="s">
        <v>18</v>
      </c>
      <c r="P7" s="35">
        <f t="shared" si="26"/>
        <v>387.89228142076507</v>
      </c>
      <c r="Q7" s="35">
        <f t="shared" si="0"/>
        <v>117.09219945355211</v>
      </c>
      <c r="R7" s="35">
        <f t="shared" si="0"/>
        <v>460.63199453551886</v>
      </c>
      <c r="S7" s="35">
        <f t="shared" si="0"/>
        <v>2108.2200546448116</v>
      </c>
      <c r="T7" s="35">
        <f>I7*8760/1000</f>
        <v>7236.7542759562866</v>
      </c>
      <c r="U7" s="35">
        <f t="shared" si="0"/>
        <v>699.69711600000005</v>
      </c>
      <c r="V7" s="35">
        <f t="shared" si="0"/>
        <v>263.27829600000001</v>
      </c>
      <c r="W7" s="35">
        <f t="shared" si="0"/>
        <v>739.13376000000005</v>
      </c>
      <c r="X7" s="35"/>
      <c r="Y7" s="35">
        <f t="shared" si="1"/>
        <v>1514.182644</v>
      </c>
      <c r="Z7" s="27">
        <v>4.1500000000000004</v>
      </c>
      <c r="AA7" s="27">
        <v>7.9215384421776502E-2</v>
      </c>
      <c r="AB7" s="27">
        <v>1.1249255547178401</v>
      </c>
      <c r="AC7" s="34" t="s">
        <v>18</v>
      </c>
      <c r="AD7" s="36">
        <f t="shared" si="2"/>
        <v>1.771197632058288E-2</v>
      </c>
      <c r="AE7" s="36">
        <f t="shared" si="3"/>
        <v>5.3466757741348001E-2</v>
      </c>
      <c r="AF7" s="36">
        <f t="shared" si="4"/>
        <v>0.14606544727787887</v>
      </c>
      <c r="AG7" s="36">
        <f t="shared" si="5"/>
        <v>0.40110731633272667</v>
      </c>
      <c r="AH7" s="36">
        <f t="shared" si="6"/>
        <v>0.14001923759686338</v>
      </c>
      <c r="AI7" s="36">
        <f t="shared" si="7"/>
        <v>2.2267660998048507E-2</v>
      </c>
      <c r="AJ7" s="36">
        <f t="shared" si="8"/>
        <v>1.0733785714285715E-2</v>
      </c>
      <c r="AK7" s="36">
        <f t="shared" si="9"/>
        <v>5.0676276276276279E-2</v>
      </c>
      <c r="AL7" s="36">
        <f t="shared" si="10"/>
        <v>6.9140759999999996E-2</v>
      </c>
      <c r="AM7" s="36"/>
      <c r="AN7" s="36"/>
      <c r="AO7" s="36">
        <f t="shared" si="11"/>
        <v>5.3598491283786798E-2</v>
      </c>
      <c r="AP7" s="36">
        <f t="shared" si="11"/>
        <v>1.6179660004636189E-2</v>
      </c>
      <c r="AQ7" s="36">
        <f t="shared" si="11"/>
        <v>6.3649577799574253E-2</v>
      </c>
      <c r="AR7" s="36">
        <f t="shared" si="11"/>
        <v>0.29131132439475083</v>
      </c>
      <c r="AS7" s="36">
        <f t="shared" si="11"/>
        <v>0.99996604614568008</v>
      </c>
      <c r="AT7" s="36">
        <f t="shared" si="11"/>
        <v>9.6683310211413576E-2</v>
      </c>
      <c r="AU7" s="36">
        <f t="shared" si="11"/>
        <v>3.6379479894984114E-2</v>
      </c>
      <c r="AV7" s="36">
        <f t="shared" si="11"/>
        <v>0.1021326184883239</v>
      </c>
      <c r="AW7" s="36">
        <f t="shared" si="12"/>
        <v>0.20922794583390908</v>
      </c>
      <c r="AY7" s="27">
        <f t="shared" si="13"/>
        <v>1.1277108433734939</v>
      </c>
      <c r="AZ7" s="27">
        <f t="shared" si="14"/>
        <v>1.2176515333193401</v>
      </c>
      <c r="BC7" s="34" t="s">
        <v>18</v>
      </c>
      <c r="BD7" s="37">
        <f t="shared" si="15"/>
        <v>8.792134524995695E-4</v>
      </c>
      <c r="BE7" s="37">
        <f t="shared" si="16"/>
        <v>8.0117608392319285E-4</v>
      </c>
      <c r="BF7" s="37">
        <f t="shared" si="17"/>
        <v>8.6102895545809993E-3</v>
      </c>
      <c r="BG7" s="37">
        <f t="shared" si="18"/>
        <v>0.10821630169152399</v>
      </c>
      <c r="BH7" s="37">
        <f t="shared" si="19"/>
        <v>0.1296724447376818</v>
      </c>
      <c r="BI7" s="37">
        <f t="shared" si="20"/>
        <v>1.9938884085565962E-3</v>
      </c>
      <c r="BJ7" s="37">
        <f t="shared" si="21"/>
        <v>3.6164639736828143E-4</v>
      </c>
      <c r="BK7" s="37">
        <f t="shared" si="22"/>
        <v>1.6753526071936929E-3</v>
      </c>
      <c r="BL7" s="37">
        <f t="shared" si="23"/>
        <v>1.3397648412793816E-2</v>
      </c>
      <c r="BO7" s="35">
        <f t="shared" si="27"/>
        <v>44.279940801457201</v>
      </c>
      <c r="BP7" s="35">
        <f t="shared" si="28"/>
        <v>13.366689435336998</v>
      </c>
      <c r="BQ7" s="35">
        <f t="shared" si="29"/>
        <v>52.583561020036399</v>
      </c>
      <c r="BR7" s="35">
        <f t="shared" si="30"/>
        <v>240.66438979963604</v>
      </c>
      <c r="BS7" s="35">
        <f t="shared" si="31"/>
        <v>826.11350182149386</v>
      </c>
      <c r="BT7" s="35">
        <f t="shared" si="32"/>
        <v>79.874099999999999</v>
      </c>
      <c r="BU7" s="35">
        <f t="shared" si="33"/>
        <v>30.054600000000001</v>
      </c>
      <c r="BV7" s="35">
        <f t="shared" si="34"/>
        <v>84.376000000000005</v>
      </c>
      <c r="BW7" s="35"/>
      <c r="BX7" s="34" t="s">
        <v>18</v>
      </c>
      <c r="BY7" s="64">
        <v>47.86</v>
      </c>
      <c r="BZ7" s="35"/>
      <c r="CA7" s="34" t="s">
        <v>18</v>
      </c>
      <c r="CB7" s="36">
        <f t="shared" si="35"/>
        <v>1.0037609694943586</v>
      </c>
      <c r="CC7" s="36">
        <v>1.0037609694943586</v>
      </c>
      <c r="CD7" s="36">
        <v>1.0037609694943586</v>
      </c>
      <c r="CE7" s="36">
        <v>1.0037609694943586</v>
      </c>
      <c r="CF7" s="36">
        <v>1.0037609694943586</v>
      </c>
      <c r="CG7" s="36">
        <v>1.0037609694943586</v>
      </c>
      <c r="CH7" s="36">
        <v>1.0037609694943586</v>
      </c>
      <c r="CI7" s="36">
        <v>1.0037609694943586</v>
      </c>
      <c r="CJ7" s="36">
        <v>1.0037609694943586</v>
      </c>
      <c r="CK7" s="36"/>
      <c r="CL7" s="34" t="s">
        <v>18</v>
      </c>
      <c r="CM7" s="37">
        <f t="shared" si="36"/>
        <v>8.8252014747345004E-4</v>
      </c>
      <c r="CN7" s="37">
        <f t="shared" si="37"/>
        <v>8.0418928273443761E-4</v>
      </c>
      <c r="CO7" s="37">
        <f t="shared" si="38"/>
        <v>8.6426725909333722E-3</v>
      </c>
      <c r="CP7" s="37">
        <f t="shared" si="39"/>
        <v>0.10862329990097812</v>
      </c>
      <c r="CQ7" s="37">
        <f t="shared" si="40"/>
        <v>0.1301601388465991</v>
      </c>
      <c r="CR7" s="37">
        <f t="shared" si="41"/>
        <v>2.0013873620363322E-3</v>
      </c>
      <c r="CS7" s="37">
        <f t="shared" si="42"/>
        <v>3.6300653843652819E-4</v>
      </c>
      <c r="CT7" s="37">
        <f t="shared" si="43"/>
        <v>4.8114303409906413E-3</v>
      </c>
      <c r="CU7" s="37">
        <f t="shared" si="44"/>
        <v>1.3448036559770477E-2</v>
      </c>
    </row>
    <row r="8" spans="1:99" ht="15.75" x14ac:dyDescent="0.2">
      <c r="A8" s="34" t="s">
        <v>19</v>
      </c>
      <c r="B8" s="34">
        <v>122.9</v>
      </c>
      <c r="C8" s="34">
        <v>30.58</v>
      </c>
      <c r="E8" s="35">
        <v>40.569330601092901</v>
      </c>
      <c r="F8" s="35">
        <v>12.1187386156648</v>
      </c>
      <c r="G8" s="35">
        <v>50.146857923497301</v>
      </c>
      <c r="H8" s="35">
        <v>231.59813296903499</v>
      </c>
      <c r="I8" s="35">
        <v>782.14412568306</v>
      </c>
      <c r="J8" s="35">
        <v>73.827399999999997</v>
      </c>
      <c r="K8" s="35">
        <v>27.555599999999998</v>
      </c>
      <c r="L8" s="35">
        <v>79.758399999999995</v>
      </c>
      <c r="M8" s="35">
        <v>150.084</v>
      </c>
      <c r="O8" s="34" t="s">
        <v>19</v>
      </c>
      <c r="P8" s="35">
        <f t="shared" si="26"/>
        <v>355.38733606557378</v>
      </c>
      <c r="Q8" s="35">
        <f t="shared" si="0"/>
        <v>106.16015027322364</v>
      </c>
      <c r="R8" s="35">
        <f t="shared" si="0"/>
        <v>439.28647540983633</v>
      </c>
      <c r="S8" s="35">
        <f t="shared" si="0"/>
        <v>2028.7996448087467</v>
      </c>
      <c r="T8" s="35">
        <f t="shared" si="0"/>
        <v>6851.5825409836052</v>
      </c>
      <c r="U8" s="35">
        <f t="shared" si="0"/>
        <v>646.728024</v>
      </c>
      <c r="V8" s="35">
        <f t="shared" si="0"/>
        <v>241.38705599999997</v>
      </c>
      <c r="W8" s="35">
        <f t="shared" si="0"/>
        <v>698.68358399999988</v>
      </c>
      <c r="X8" s="35"/>
      <c r="Y8" s="35">
        <f t="shared" si="1"/>
        <v>1314.7358400000001</v>
      </c>
      <c r="Z8" s="27">
        <v>3.96</v>
      </c>
      <c r="AA8" s="27">
        <v>8.0099318749769194E-2</v>
      </c>
      <c r="AB8" s="27">
        <v>1.1129509616552899</v>
      </c>
      <c r="AC8" s="34" t="s">
        <v>19</v>
      </c>
      <c r="AD8" s="36">
        <f t="shared" si="2"/>
        <v>1.6227732240437161E-2</v>
      </c>
      <c r="AE8" s="36">
        <f t="shared" si="3"/>
        <v>4.8474954462659196E-2</v>
      </c>
      <c r="AF8" s="36">
        <f t="shared" si="4"/>
        <v>0.13929682756527029</v>
      </c>
      <c r="AG8" s="36">
        <f t="shared" si="5"/>
        <v>0.38599688828172501</v>
      </c>
      <c r="AH8" s="36">
        <f t="shared" si="6"/>
        <v>0.13256680096323051</v>
      </c>
      <c r="AI8" s="36">
        <f t="shared" si="7"/>
        <v>2.0581934764427098E-2</v>
      </c>
      <c r="AJ8" s="36">
        <f t="shared" si="8"/>
        <v>9.8412857142857139E-3</v>
      </c>
      <c r="AK8" s="36">
        <f t="shared" si="9"/>
        <v>4.7902942942942943E-2</v>
      </c>
      <c r="AL8" s="36">
        <f t="shared" si="10"/>
        <v>6.0033599999999999E-2</v>
      </c>
      <c r="AM8" s="36"/>
      <c r="AN8" s="36"/>
      <c r="AO8" s="36">
        <f t="shared" si="11"/>
        <v>4.9106996830948428E-2</v>
      </c>
      <c r="AP8" s="36">
        <f t="shared" si="11"/>
        <v>1.4669082530499328E-2</v>
      </c>
      <c r="AQ8" s="36">
        <f t="shared" si="11"/>
        <v>6.0700079509442631E-2</v>
      </c>
      <c r="AR8" s="36">
        <f t="shared" si="11"/>
        <v>0.28033710720032429</v>
      </c>
      <c r="AS8" s="36">
        <f t="shared" si="11"/>
        <v>0.94674347671460624</v>
      </c>
      <c r="AT8" s="36">
        <f t="shared" si="11"/>
        <v>8.9364104463175345E-2</v>
      </c>
      <c r="AU8" s="36">
        <f t="shared" si="11"/>
        <v>3.3354574547464412E-2</v>
      </c>
      <c r="AV8" s="36">
        <f t="shared" si="11"/>
        <v>9.6543261572474767E-2</v>
      </c>
      <c r="AW8" s="36">
        <f t="shared" si="12"/>
        <v>0.18166862512090645</v>
      </c>
      <c r="AY8" s="27">
        <f t="shared" si="13"/>
        <v>1.1818181818181817</v>
      </c>
      <c r="AZ8" s="27">
        <f t="shared" si="14"/>
        <v>1.2057551189708848</v>
      </c>
      <c r="BC8" s="34" t="s">
        <v>19</v>
      </c>
      <c r="BD8" s="37">
        <f t="shared" si="15"/>
        <v>7.8107504290846628E-4</v>
      </c>
      <c r="BE8" s="37">
        <f t="shared" si="16"/>
        <v>6.9696651684239509E-4</v>
      </c>
      <c r="BF8" s="37">
        <f t="shared" si="17"/>
        <v>8.287471317780867E-3</v>
      </c>
      <c r="BG8" s="37">
        <f t="shared" si="18"/>
        <v>0.10606105528297648</v>
      </c>
      <c r="BH8" s="37">
        <f t="shared" si="19"/>
        <v>0.1230151641347126</v>
      </c>
      <c r="BI8" s="37">
        <f t="shared" si="20"/>
        <v>1.8027722222478735E-3</v>
      </c>
      <c r="BJ8" s="37">
        <f t="shared" si="21"/>
        <v>3.2173536331645561E-4</v>
      </c>
      <c r="BK8" s="37">
        <f t="shared" si="22"/>
        <v>1.5355761305224094E-3</v>
      </c>
      <c r="BL8" s="37">
        <f t="shared" si="23"/>
        <v>1.0689708670678593E-2</v>
      </c>
      <c r="BO8" s="35">
        <f t="shared" si="27"/>
        <v>40.569330601092901</v>
      </c>
      <c r="BP8" s="35">
        <f t="shared" si="28"/>
        <v>12.1187386156648</v>
      </c>
      <c r="BQ8" s="35">
        <f t="shared" si="29"/>
        <v>50.146857923497294</v>
      </c>
      <c r="BR8" s="35">
        <f t="shared" si="30"/>
        <v>231.59813296903499</v>
      </c>
      <c r="BS8" s="35">
        <f t="shared" si="31"/>
        <v>782.14412568305988</v>
      </c>
      <c r="BT8" s="35">
        <f t="shared" si="32"/>
        <v>73.827399999999997</v>
      </c>
      <c r="BU8" s="35">
        <f t="shared" si="33"/>
        <v>27.555599999999995</v>
      </c>
      <c r="BV8" s="35">
        <f t="shared" si="34"/>
        <v>79.758399999999995</v>
      </c>
      <c r="BW8" s="35"/>
      <c r="BX8" s="34" t="s">
        <v>19</v>
      </c>
      <c r="BY8" s="64">
        <v>40.049999999999997</v>
      </c>
      <c r="BZ8" s="35"/>
      <c r="CA8" s="34" t="s">
        <v>19</v>
      </c>
      <c r="CB8" s="36">
        <f t="shared" si="35"/>
        <v>1.1995006242197255</v>
      </c>
      <c r="CC8" s="36">
        <v>1.1995006242197255</v>
      </c>
      <c r="CD8" s="36">
        <v>1.1995006242197255</v>
      </c>
      <c r="CE8" s="36">
        <v>1.1995006242197255</v>
      </c>
      <c r="CF8" s="36">
        <v>1.1995006242197255</v>
      </c>
      <c r="CG8" s="36">
        <v>1.1995006242197255</v>
      </c>
      <c r="CH8" s="36">
        <v>1.1995006242197255</v>
      </c>
      <c r="CI8" s="36">
        <v>1.1995006242197255</v>
      </c>
      <c r="CJ8" s="36">
        <v>1.1995006242197255</v>
      </c>
      <c r="CK8" s="36"/>
      <c r="CL8" s="34" t="s">
        <v>19</v>
      </c>
      <c r="CM8" s="37">
        <f t="shared" si="36"/>
        <v>9.3690000153115417E-4</v>
      </c>
      <c r="CN8" s="37">
        <f t="shared" si="37"/>
        <v>8.3601177201270062E-4</v>
      </c>
      <c r="CO8" s="37">
        <f t="shared" si="38"/>
        <v>9.9408270188812205E-3</v>
      </c>
      <c r="CP8" s="37">
        <f t="shared" si="39"/>
        <v>0.12722030201733309</v>
      </c>
      <c r="CQ8" s="37">
        <f t="shared" si="40"/>
        <v>0.14755676616807975</v>
      </c>
      <c r="CR8" s="37">
        <f t="shared" si="41"/>
        <v>2.1624264059123058E-3</v>
      </c>
      <c r="CS8" s="37">
        <f t="shared" si="42"/>
        <v>3.8592176913164862E-4</v>
      </c>
      <c r="CT8" s="37">
        <f t="shared" si="43"/>
        <v>5.4372110791268283E-3</v>
      </c>
      <c r="CU8" s="37">
        <f t="shared" si="44"/>
        <v>1.2822312223205986E-2</v>
      </c>
    </row>
    <row r="9" spans="1:99" ht="15.75" x14ac:dyDescent="0.2">
      <c r="A9" s="34" t="s">
        <v>20</v>
      </c>
      <c r="B9" s="34">
        <v>122.9</v>
      </c>
      <c r="C9" s="34">
        <v>30.82</v>
      </c>
      <c r="E9" s="35">
        <v>39.2280282331512</v>
      </c>
      <c r="F9" s="35">
        <v>11.336976320582901</v>
      </c>
      <c r="G9" s="35">
        <v>48.354963570127502</v>
      </c>
      <c r="H9" s="35">
        <v>224.15596539162101</v>
      </c>
      <c r="I9" s="35">
        <v>753.82468123861599</v>
      </c>
      <c r="J9" s="35">
        <v>70.784300000000002</v>
      </c>
      <c r="K9" s="35">
        <v>26.4117</v>
      </c>
      <c r="L9" s="35">
        <v>75.832499999999996</v>
      </c>
      <c r="M9" s="35">
        <v>140.1318</v>
      </c>
      <c r="O9" s="34" t="s">
        <v>20</v>
      </c>
      <c r="P9" s="35">
        <f t="shared" si="26"/>
        <v>343.63752732240448</v>
      </c>
      <c r="Q9" s="35">
        <f t="shared" si="0"/>
        <v>99.311912568306212</v>
      </c>
      <c r="R9" s="35">
        <f t="shared" si="0"/>
        <v>423.58948087431696</v>
      </c>
      <c r="S9" s="35">
        <f t="shared" si="0"/>
        <v>1963.6062568306002</v>
      </c>
      <c r="T9" s="35">
        <f t="shared" si="0"/>
        <v>6603.5042076502759</v>
      </c>
      <c r="U9" s="35">
        <f t="shared" si="0"/>
        <v>620.07046800000001</v>
      </c>
      <c r="V9" s="35">
        <f t="shared" si="0"/>
        <v>231.36649199999999</v>
      </c>
      <c r="W9" s="35">
        <f t="shared" si="0"/>
        <v>664.29269999999997</v>
      </c>
      <c r="X9" s="35"/>
      <c r="Y9" s="35">
        <f t="shared" si="1"/>
        <v>1227.554568</v>
      </c>
      <c r="Z9" s="27">
        <v>4.05</v>
      </c>
      <c r="AA9" s="27">
        <v>8.1383804633912205E-2</v>
      </c>
      <c r="AB9" s="27">
        <v>1.1673907666580201</v>
      </c>
      <c r="AC9" s="34" t="s">
        <v>20</v>
      </c>
      <c r="AD9" s="36">
        <f t="shared" si="2"/>
        <v>1.5691211293260478E-2</v>
      </c>
      <c r="AE9" s="36">
        <f t="shared" si="3"/>
        <v>4.5347905282331603E-2</v>
      </c>
      <c r="AF9" s="36">
        <f t="shared" si="4"/>
        <v>0.13431934325035416</v>
      </c>
      <c r="AG9" s="36">
        <f t="shared" si="5"/>
        <v>0.37359327565270167</v>
      </c>
      <c r="AH9" s="36">
        <f t="shared" si="6"/>
        <v>0.12776689512518916</v>
      </c>
      <c r="AI9" s="36">
        <f t="shared" si="7"/>
        <v>1.9733565653749653E-2</v>
      </c>
      <c r="AJ9" s="36">
        <f t="shared" si="8"/>
        <v>9.4327500000000002E-3</v>
      </c>
      <c r="AK9" s="36">
        <f t="shared" si="9"/>
        <v>4.5545045045045043E-2</v>
      </c>
      <c r="AL9" s="36">
        <f t="shared" si="10"/>
        <v>5.605272E-2</v>
      </c>
      <c r="AM9" s="36"/>
      <c r="AN9" s="36"/>
      <c r="AO9" s="36">
        <f t="shared" si="11"/>
        <v>4.7483422318972568E-2</v>
      </c>
      <c r="AP9" s="36">
        <f t="shared" si="11"/>
        <v>1.3722801239229821E-2</v>
      </c>
      <c r="AQ9" s="36">
        <f t="shared" si="11"/>
        <v>5.8531087587994607E-2</v>
      </c>
      <c r="AR9" s="36">
        <f t="shared" si="11"/>
        <v>0.27132876286176594</v>
      </c>
      <c r="AS9" s="36">
        <f t="shared" si="11"/>
        <v>0.91246430947219515</v>
      </c>
      <c r="AT9" s="36">
        <f t="shared" si="11"/>
        <v>8.5680595274284926E-2</v>
      </c>
      <c r="AU9" s="36">
        <f t="shared" si="11"/>
        <v>3.1969945004836256E-2</v>
      </c>
      <c r="AV9" s="36">
        <f t="shared" si="11"/>
        <v>9.1791170374464548E-2</v>
      </c>
      <c r="AW9" s="36">
        <f t="shared" si="12"/>
        <v>0.16962202127953571</v>
      </c>
      <c r="AY9" s="27">
        <f t="shared" si="13"/>
        <v>1.1555555555555554</v>
      </c>
      <c r="AZ9" s="27">
        <f t="shared" si="14"/>
        <v>1.2663598320291523</v>
      </c>
      <c r="BC9" s="34" t="s">
        <v>20</v>
      </c>
      <c r="BD9" s="37">
        <f t="shared" si="15"/>
        <v>6.7987987601865268E-4</v>
      </c>
      <c r="BE9" s="37">
        <f t="shared" si="16"/>
        <v>5.6785010079728724E-4</v>
      </c>
      <c r="BF9" s="37">
        <f t="shared" si="17"/>
        <v>7.1739584485758139E-3</v>
      </c>
      <c r="BG9" s="37">
        <f t="shared" si="18"/>
        <v>9.2497200490052833E-2</v>
      </c>
      <c r="BH9" s="37">
        <f t="shared" si="19"/>
        <v>0.10638194605476736</v>
      </c>
      <c r="BI9" s="37">
        <f t="shared" si="20"/>
        <v>1.5428430316626997E-3</v>
      </c>
      <c r="BJ9" s="37">
        <f t="shared" si="21"/>
        <v>2.7517813110354566E-4</v>
      </c>
      <c r="BK9" s="37">
        <f t="shared" si="22"/>
        <v>1.3142896296432815E-3</v>
      </c>
      <c r="BL9" s="37">
        <f t="shared" si="23"/>
        <v>8.6758618777556477E-3</v>
      </c>
      <c r="BO9" s="35">
        <f t="shared" si="27"/>
        <v>39.2280282331512</v>
      </c>
      <c r="BP9" s="35">
        <f t="shared" si="28"/>
        <v>11.336976320582901</v>
      </c>
      <c r="BQ9" s="35">
        <f t="shared" si="29"/>
        <v>48.354963570127509</v>
      </c>
      <c r="BR9" s="35">
        <f t="shared" si="30"/>
        <v>224.15596539162104</v>
      </c>
      <c r="BS9" s="35">
        <f t="shared" si="31"/>
        <v>753.82468123861599</v>
      </c>
      <c r="BT9" s="35">
        <f t="shared" si="32"/>
        <v>70.784299999999988</v>
      </c>
      <c r="BU9" s="35">
        <f t="shared" si="33"/>
        <v>26.4117</v>
      </c>
      <c r="BV9" s="35">
        <f t="shared" si="34"/>
        <v>75.832499999999996</v>
      </c>
      <c r="BW9" s="35"/>
      <c r="BX9" s="34" t="s">
        <v>20</v>
      </c>
      <c r="BY9" s="64">
        <v>31.03</v>
      </c>
      <c r="BZ9" s="35"/>
      <c r="CA9" s="34" t="s">
        <v>20</v>
      </c>
      <c r="CB9" s="36">
        <f t="shared" si="35"/>
        <v>1.5481791814373187</v>
      </c>
      <c r="CC9" s="36">
        <v>1.5481791814373187</v>
      </c>
      <c r="CD9" s="36">
        <v>1.5481791814373187</v>
      </c>
      <c r="CE9" s="36">
        <v>1.5481791814373187</v>
      </c>
      <c r="CF9" s="36">
        <v>1.5481791814373187</v>
      </c>
      <c r="CG9" s="36">
        <v>1.5481791814373187</v>
      </c>
      <c r="CH9" s="36">
        <v>1.5481791814373187</v>
      </c>
      <c r="CI9" s="36">
        <v>1.5481791814373187</v>
      </c>
      <c r="CJ9" s="36">
        <v>1.5481791814373187</v>
      </c>
      <c r="CK9" s="36"/>
      <c r="CL9" s="34" t="s">
        <v>20</v>
      </c>
      <c r="CM9" s="37">
        <f t="shared" si="36"/>
        <v>1.0525758699302635E-3</v>
      </c>
      <c r="CN9" s="37">
        <f t="shared" si="37"/>
        <v>8.7913370423144306E-4</v>
      </c>
      <c r="CO9" s="37">
        <f t="shared" si="38"/>
        <v>1.1106573118581441E-2</v>
      </c>
      <c r="CP9" s="37">
        <f t="shared" si="39"/>
        <v>0.14320224013993357</v>
      </c>
      <c r="CQ9" s="37">
        <f t="shared" si="40"/>
        <v>0.16469831416277872</v>
      </c>
      <c r="CR9" s="37">
        <f t="shared" si="41"/>
        <v>2.3885974618458295E-3</v>
      </c>
      <c r="CS9" s="37">
        <f t="shared" si="42"/>
        <v>4.2602505376133849E-4</v>
      </c>
      <c r="CT9" s="37">
        <f t="shared" si="43"/>
        <v>5.906047964861369E-3</v>
      </c>
      <c r="CU9" s="37">
        <f t="shared" si="44"/>
        <v>1.3431788740166978E-2</v>
      </c>
    </row>
    <row r="10" spans="1:99" ht="15.75" x14ac:dyDescent="0.2">
      <c r="A10" s="34" t="s">
        <v>21</v>
      </c>
      <c r="B10" s="34">
        <v>122.9</v>
      </c>
      <c r="C10" s="34">
        <v>30.88</v>
      </c>
      <c r="E10" s="35">
        <v>37.702755009107499</v>
      </c>
      <c r="F10" s="35">
        <v>10.859175774134799</v>
      </c>
      <c r="G10" s="35">
        <v>47.667235883424397</v>
      </c>
      <c r="H10" s="35">
        <v>221.73645264116601</v>
      </c>
      <c r="I10" s="35">
        <v>736.91951275045506</v>
      </c>
      <c r="J10" s="35">
        <v>68.994</v>
      </c>
      <c r="K10" s="35">
        <v>25.447900000000001</v>
      </c>
      <c r="L10" s="35">
        <v>74.470100000000002</v>
      </c>
      <c r="M10" s="35">
        <v>134.13990000000001</v>
      </c>
      <c r="O10" s="34" t="s">
        <v>21</v>
      </c>
      <c r="P10" s="35">
        <f t="shared" si="26"/>
        <v>330.2761338797817</v>
      </c>
      <c r="Q10" s="35">
        <f t="shared" si="0"/>
        <v>95.126379781420837</v>
      </c>
      <c r="R10" s="35">
        <f t="shared" si="0"/>
        <v>417.56498633879772</v>
      </c>
      <c r="S10" s="35">
        <f t="shared" si="0"/>
        <v>1942.4113251366143</v>
      </c>
      <c r="T10" s="35">
        <f t="shared" si="0"/>
        <v>6455.4149316939856</v>
      </c>
      <c r="U10" s="35">
        <f t="shared" si="0"/>
        <v>604.38743999999997</v>
      </c>
      <c r="V10" s="35">
        <f t="shared" si="0"/>
        <v>222.92360399999998</v>
      </c>
      <c r="W10" s="35">
        <f t="shared" si="0"/>
        <v>652.35807599999998</v>
      </c>
      <c r="X10" s="35"/>
      <c r="Y10" s="35">
        <f t="shared" si="1"/>
        <v>1175.0655240000001</v>
      </c>
      <c r="Z10" s="27">
        <v>3.94</v>
      </c>
      <c r="AA10" s="27">
        <v>8.1377277395803693E-2</v>
      </c>
      <c r="AB10" s="27">
        <v>1.15796660293945</v>
      </c>
      <c r="AC10" s="34" t="s">
        <v>21</v>
      </c>
      <c r="AD10" s="36">
        <f t="shared" si="2"/>
        <v>1.5081102003643E-2</v>
      </c>
      <c r="AE10" s="36">
        <f t="shared" si="3"/>
        <v>4.34367030965392E-2</v>
      </c>
      <c r="AF10" s="36">
        <f t="shared" si="4"/>
        <v>0.13240898856506778</v>
      </c>
      <c r="AG10" s="36">
        <f t="shared" si="5"/>
        <v>0.36956075440194336</v>
      </c>
      <c r="AH10" s="36">
        <f t="shared" si="6"/>
        <v>0.1249016123305856</v>
      </c>
      <c r="AI10" s="36">
        <f t="shared" si="7"/>
        <v>1.9234457764148314E-2</v>
      </c>
      <c r="AJ10" s="36">
        <f t="shared" si="8"/>
        <v>9.0885357142857139E-3</v>
      </c>
      <c r="AK10" s="36">
        <f t="shared" si="9"/>
        <v>4.4726786786786786E-2</v>
      </c>
      <c r="AL10" s="36">
        <f t="shared" si="10"/>
        <v>5.3655960000000003E-2</v>
      </c>
      <c r="AM10" s="36"/>
      <c r="AN10" s="36"/>
      <c r="AO10" s="36">
        <f t="shared" si="11"/>
        <v>4.5637160961694304E-2</v>
      </c>
      <c r="AP10" s="36">
        <f t="shared" si="11"/>
        <v>1.3144449327265557E-2</v>
      </c>
      <c r="AQ10" s="36">
        <f t="shared" si="11"/>
        <v>5.7698630142158036E-2</v>
      </c>
      <c r="AR10" s="36">
        <f t="shared" si="11"/>
        <v>0.26840007256274895</v>
      </c>
      <c r="AS10" s="36">
        <f t="shared" si="11"/>
        <v>0.89200151052839372</v>
      </c>
      <c r="AT10" s="36">
        <f t="shared" si="11"/>
        <v>8.351353323200221E-2</v>
      </c>
      <c r="AU10" s="36">
        <f t="shared" si="11"/>
        <v>3.0803316843996127E-2</v>
      </c>
      <c r="AV10" s="36">
        <f t="shared" si="11"/>
        <v>9.0142058311455026E-2</v>
      </c>
      <c r="AW10" s="36">
        <f t="shared" si="12"/>
        <v>0.16236914798949842</v>
      </c>
      <c r="AY10" s="27">
        <f t="shared" si="13"/>
        <v>1.1878172588832487</v>
      </c>
      <c r="AZ10" s="27">
        <f t="shared" si="14"/>
        <v>1.2561285082438991</v>
      </c>
      <c r="BC10" s="34" t="s">
        <v>21</v>
      </c>
      <c r="BD10" s="37">
        <f t="shared" si="15"/>
        <v>6.5082953922583782E-4</v>
      </c>
      <c r="BE10" s="37">
        <f t="shared" si="16"/>
        <v>5.3990184289914379E-4</v>
      </c>
      <c r="BF10" s="37">
        <f t="shared" si="17"/>
        <v>7.2243458651377827E-3</v>
      </c>
      <c r="BG10" s="37">
        <f t="shared" si="18"/>
        <v>9.3795938448051536E-2</v>
      </c>
      <c r="BH10" s="37">
        <f t="shared" si="19"/>
        <v>0.10535355468596698</v>
      </c>
      <c r="BI10" s="37">
        <f t="shared" si="20"/>
        <v>1.5189810807211583E-3</v>
      </c>
      <c r="BJ10" s="37">
        <f t="shared" si="21"/>
        <v>2.6473231673157705E-4</v>
      </c>
      <c r="BK10" s="37">
        <f t="shared" si="22"/>
        <v>1.285511917030845E-3</v>
      </c>
      <c r="BL10" s="37">
        <f t="shared" si="23"/>
        <v>8.2382893309227104E-3</v>
      </c>
      <c r="BO10" s="35">
        <f t="shared" si="27"/>
        <v>37.702755009107499</v>
      </c>
      <c r="BP10" s="35">
        <f t="shared" si="28"/>
        <v>10.859175774134798</v>
      </c>
      <c r="BQ10" s="35">
        <f t="shared" si="29"/>
        <v>47.667235883424397</v>
      </c>
      <c r="BR10" s="35">
        <f t="shared" si="30"/>
        <v>221.73645264116601</v>
      </c>
      <c r="BS10" s="35">
        <f t="shared" si="31"/>
        <v>736.91951275045494</v>
      </c>
      <c r="BT10" s="35">
        <f t="shared" si="32"/>
        <v>68.994</v>
      </c>
      <c r="BU10" s="35">
        <f t="shared" si="33"/>
        <v>25.447900000000001</v>
      </c>
      <c r="BV10" s="35">
        <f t="shared" si="34"/>
        <v>74.470100000000002</v>
      </c>
      <c r="BW10" s="35"/>
      <c r="BX10" s="34" t="s">
        <v>21</v>
      </c>
      <c r="BY10" s="64">
        <v>30.95</v>
      </c>
      <c r="BZ10" s="35"/>
      <c r="CA10" s="34" t="s">
        <v>21</v>
      </c>
      <c r="CB10" s="36">
        <f t="shared" si="35"/>
        <v>1.5521809369951536</v>
      </c>
      <c r="CC10" s="36">
        <v>1.5521809369951536</v>
      </c>
      <c r="CD10" s="36">
        <v>1.5521809369951536</v>
      </c>
      <c r="CE10" s="36">
        <v>1.5521809369951536</v>
      </c>
      <c r="CF10" s="36">
        <v>1.5521809369951536</v>
      </c>
      <c r="CG10" s="36">
        <v>1.5521809369951536</v>
      </c>
      <c r="CH10" s="36">
        <v>1.5521809369951536</v>
      </c>
      <c r="CI10" s="36">
        <v>1.5521809369951536</v>
      </c>
      <c r="CJ10" s="36">
        <v>1.5521809369951536</v>
      </c>
      <c r="CK10" s="36"/>
      <c r="CL10" s="34" t="s">
        <v>21</v>
      </c>
      <c r="CM10" s="37">
        <f t="shared" si="36"/>
        <v>1.010205204019685E-3</v>
      </c>
      <c r="CN10" s="37">
        <f t="shared" si="37"/>
        <v>8.3802534839660318E-4</v>
      </c>
      <c r="CO10" s="37">
        <f t="shared" si="38"/>
        <v>1.1213491934126628E-2</v>
      </c>
      <c r="CP10" s="37">
        <f t="shared" si="39"/>
        <v>0.14558826762663638</v>
      </c>
      <c r="CQ10" s="37">
        <f t="shared" si="40"/>
        <v>0.16352777922823439</v>
      </c>
      <c r="CR10" s="37">
        <f t="shared" si="41"/>
        <v>2.3577334771516783E-3</v>
      </c>
      <c r="CS10" s="37">
        <f t="shared" si="42"/>
        <v>4.1091245543731708E-4</v>
      </c>
      <c r="CT10" s="37">
        <f t="shared" si="43"/>
        <v>5.9177017649825079E-3</v>
      </c>
      <c r="CU10" s="37">
        <f t="shared" si="44"/>
        <v>1.278731565290879E-2</v>
      </c>
    </row>
    <row r="11" spans="1:99" ht="16.5" thickBot="1" x14ac:dyDescent="0.25">
      <c r="A11" s="34" t="s">
        <v>168</v>
      </c>
      <c r="B11" s="34">
        <v>123</v>
      </c>
      <c r="C11" s="34">
        <v>30.98</v>
      </c>
      <c r="E11" s="35">
        <v>40.771744080145702</v>
      </c>
      <c r="F11" s="35">
        <v>12.132399817850599</v>
      </c>
      <c r="G11" s="35">
        <v>50.192509107468098</v>
      </c>
      <c r="H11" s="35">
        <v>230.74100637522801</v>
      </c>
      <c r="I11" s="35">
        <v>773.92133424407996</v>
      </c>
      <c r="J11" s="35">
        <v>74.674499999999995</v>
      </c>
      <c r="K11" s="35">
        <v>27.945900000000002</v>
      </c>
      <c r="L11" s="35">
        <v>79.3142</v>
      </c>
      <c r="M11" s="35">
        <v>154.84049999999999</v>
      </c>
      <c r="O11" s="34" t="s">
        <v>168</v>
      </c>
      <c r="P11" s="35">
        <f>E11*8760/1000</f>
        <v>357.16047814207633</v>
      </c>
      <c r="Q11" s="35">
        <f t="shared" si="0"/>
        <v>106.27982240437126</v>
      </c>
      <c r="R11" s="35">
        <f t="shared" si="0"/>
        <v>439.6863797814205</v>
      </c>
      <c r="S11" s="35">
        <f t="shared" si="0"/>
        <v>2021.2912158469974</v>
      </c>
      <c r="T11" s="35">
        <f t="shared" si="0"/>
        <v>6779.5508879781401</v>
      </c>
      <c r="U11" s="35">
        <f t="shared" si="0"/>
        <v>654.14862000000005</v>
      </c>
      <c r="V11" s="35">
        <f t="shared" si="0"/>
        <v>244.806084</v>
      </c>
      <c r="W11" s="35">
        <f t="shared" si="0"/>
        <v>694.79239199999995</v>
      </c>
      <c r="X11" s="35"/>
      <c r="Y11" s="35">
        <f t="shared" si="1"/>
        <v>1356.4027800000001</v>
      </c>
      <c r="Z11" s="27">
        <v>4.13</v>
      </c>
      <c r="AA11" s="27">
        <v>8.0550007422752701E-2</v>
      </c>
      <c r="AB11" s="27">
        <v>1.1036443418498001</v>
      </c>
      <c r="AC11" s="34" t="s">
        <v>168</v>
      </c>
      <c r="AD11" s="36">
        <f t="shared" si="2"/>
        <v>1.6308697632058281E-2</v>
      </c>
      <c r="AE11" s="36">
        <f t="shared" si="3"/>
        <v>4.8529599271402393E-2</v>
      </c>
      <c r="AF11" s="36">
        <f t="shared" si="4"/>
        <v>0.13942363640963359</v>
      </c>
      <c r="AG11" s="36">
        <f t="shared" si="5"/>
        <v>0.38456834395871337</v>
      </c>
      <c r="AH11" s="36">
        <f t="shared" si="6"/>
        <v>0.13117310749899661</v>
      </c>
      <c r="AI11" s="36">
        <f t="shared" si="7"/>
        <v>2.081809311402286E-2</v>
      </c>
      <c r="AJ11" s="36">
        <f t="shared" si="8"/>
        <v>9.9806785714285726E-3</v>
      </c>
      <c r="AK11" s="36">
        <f t="shared" si="9"/>
        <v>4.7636156156156156E-2</v>
      </c>
      <c r="AL11" s="36">
        <f t="shared" si="10"/>
        <v>6.1936199999999997E-2</v>
      </c>
      <c r="AM11" s="36"/>
      <c r="AN11" s="36"/>
      <c r="AO11" s="36">
        <f t="shared" si="11"/>
        <v>4.9352007481287319E-2</v>
      </c>
      <c r="AP11" s="36">
        <f t="shared" si="11"/>
        <v>1.4685618682378231E-2</v>
      </c>
      <c r="AQ11" s="36">
        <f t="shared" si="11"/>
        <v>6.0755337816971192E-2</v>
      </c>
      <c r="AR11" s="36">
        <f t="shared" si="11"/>
        <v>0.27929960147118937</v>
      </c>
      <c r="AS11" s="36">
        <f t="shared" si="11"/>
        <v>0.93679022909743537</v>
      </c>
      <c r="AT11" s="36">
        <f t="shared" si="11"/>
        <v>9.038947353875916E-2</v>
      </c>
      <c r="AU11" s="36">
        <f t="shared" si="11"/>
        <v>3.3827011745198289E-2</v>
      </c>
      <c r="AV11" s="36">
        <f t="shared" si="11"/>
        <v>9.6005581318225772E-2</v>
      </c>
      <c r="AW11" s="36">
        <f t="shared" si="12"/>
        <v>0.18742611303026119</v>
      </c>
      <c r="AY11" s="27">
        <f t="shared" si="13"/>
        <v>1.1331719128329298</v>
      </c>
      <c r="AZ11" s="27">
        <f t="shared" si="14"/>
        <v>1.1962114020607155</v>
      </c>
      <c r="BC11" s="34" t="s">
        <v>168</v>
      </c>
      <c r="BD11" s="37">
        <f t="shared" si="15"/>
        <v>7.6245105139486583E-4</v>
      </c>
      <c r="BE11" s="37">
        <f t="shared" si="16"/>
        <v>6.751290822192336E-4</v>
      </c>
      <c r="BF11" s="37">
        <f t="shared" si="17"/>
        <v>8.024328682765201E-3</v>
      </c>
      <c r="BG11" s="37">
        <f t="shared" si="18"/>
        <v>0.10174936599776462</v>
      </c>
      <c r="BH11" s="37">
        <f t="shared" si="19"/>
        <v>0.11640590809096449</v>
      </c>
      <c r="BI11" s="37">
        <f t="shared" si="20"/>
        <v>1.7825703040683163E-3</v>
      </c>
      <c r="BJ11" s="37">
        <f t="shared" si="21"/>
        <v>3.1982438043452071E-4</v>
      </c>
      <c r="BK11" s="37">
        <f t="shared" si="22"/>
        <v>1.4832133514246896E-3</v>
      </c>
      <c r="BL11" s="37">
        <f t="shared" si="23"/>
        <v>1.099670358029226E-2</v>
      </c>
      <c r="BO11" s="35">
        <f t="shared" si="27"/>
        <v>40.771744080145702</v>
      </c>
      <c r="BP11" s="35">
        <f t="shared" si="28"/>
        <v>12.132399817850599</v>
      </c>
      <c r="BQ11" s="35">
        <f t="shared" si="29"/>
        <v>50.192509107468091</v>
      </c>
      <c r="BR11" s="35">
        <f t="shared" si="30"/>
        <v>230.74100637522801</v>
      </c>
      <c r="BS11" s="35">
        <f t="shared" si="31"/>
        <v>773.92133424407996</v>
      </c>
      <c r="BT11" s="35">
        <f t="shared" si="32"/>
        <v>74.674500000000009</v>
      </c>
      <c r="BU11" s="35">
        <f t="shared" si="33"/>
        <v>27.945899999999998</v>
      </c>
      <c r="BV11" s="35">
        <f t="shared" si="34"/>
        <v>79.314199999999985</v>
      </c>
      <c r="BW11" s="35"/>
      <c r="BX11" s="34" t="s">
        <v>168</v>
      </c>
      <c r="BY11" s="65">
        <v>45.51</v>
      </c>
      <c r="BZ11" s="35"/>
      <c r="CA11" s="34" t="s">
        <v>168</v>
      </c>
      <c r="CB11" s="36">
        <f t="shared" si="35"/>
        <v>1.0555921775433972</v>
      </c>
      <c r="CC11" s="36">
        <v>1.0555921775433972</v>
      </c>
      <c r="CD11" s="36">
        <v>1.0555921775433972</v>
      </c>
      <c r="CE11" s="36">
        <v>1.0555921775433972</v>
      </c>
      <c r="CF11" s="36">
        <v>1.0555921775433972</v>
      </c>
      <c r="CG11" s="36">
        <v>1.0555921775433972</v>
      </c>
      <c r="CH11" s="36">
        <v>1.0555921775433972</v>
      </c>
      <c r="CI11" s="36">
        <v>1.0555921775433972</v>
      </c>
      <c r="CJ11" s="36">
        <v>1.0555921775433972</v>
      </c>
      <c r="CK11" s="36"/>
      <c r="CL11" s="34" t="s">
        <v>168</v>
      </c>
      <c r="CM11" s="37">
        <f t="shared" si="36"/>
        <v>8.0483736561215902E-4</v>
      </c>
      <c r="CN11" s="37">
        <f t="shared" si="37"/>
        <v>7.1266097802267603E-4</v>
      </c>
      <c r="CO11" s="37">
        <f t="shared" si="38"/>
        <v>8.4704185875640586E-3</v>
      </c>
      <c r="CP11" s="37">
        <f t="shared" si="39"/>
        <v>0.10740583481724045</v>
      </c>
      <c r="CQ11" s="37">
        <f t="shared" si="40"/>
        <v>0.12287716600065776</v>
      </c>
      <c r="CR11" s="37">
        <f t="shared" si="41"/>
        <v>1.8816672688956699E-3</v>
      </c>
      <c r="CS11" s="37">
        <f t="shared" si="42"/>
        <v>3.3760411417434357E-4</v>
      </c>
      <c r="CT11" s="37">
        <f t="shared" si="43"/>
        <v>4.5731686622979715E-3</v>
      </c>
      <c r="CU11" s="37">
        <f t="shared" si="44"/>
        <v>1.160803427811998E-2</v>
      </c>
    </row>
    <row r="12" spans="1:99" ht="15" thickTop="1" x14ac:dyDescent="0.2"/>
    <row r="16" spans="1:99" x14ac:dyDescent="0.2">
      <c r="D16" s="33" t="s">
        <v>169</v>
      </c>
      <c r="E16" s="27">
        <v>2500</v>
      </c>
      <c r="F16" s="27">
        <v>250</v>
      </c>
      <c r="G16" s="27">
        <v>360</v>
      </c>
      <c r="H16" s="27">
        <v>600</v>
      </c>
      <c r="I16" s="27">
        <v>5900</v>
      </c>
      <c r="J16" s="27">
        <v>3587</v>
      </c>
      <c r="K16" s="27">
        <v>2800</v>
      </c>
      <c r="L16" s="27">
        <v>1665</v>
      </c>
      <c r="M16" s="27">
        <v>2500</v>
      </c>
      <c r="AY16" s="27" t="s">
        <v>220</v>
      </c>
      <c r="AZ16" s="33" t="s">
        <v>147</v>
      </c>
      <c r="BA16" s="33" t="s">
        <v>148</v>
      </c>
      <c r="BB16" s="33" t="s">
        <v>149</v>
      </c>
      <c r="BC16" s="33" t="s">
        <v>150</v>
      </c>
      <c r="BD16" s="33" t="s">
        <v>151</v>
      </c>
      <c r="BE16" s="33" t="s">
        <v>152</v>
      </c>
      <c r="BF16" s="33" t="s">
        <v>153</v>
      </c>
      <c r="BG16" s="33" t="s">
        <v>154</v>
      </c>
      <c r="BH16" s="33" t="s">
        <v>155</v>
      </c>
    </row>
    <row r="17" spans="51:60" ht="15.75" x14ac:dyDescent="0.2">
      <c r="AY17" s="34" t="s">
        <v>166</v>
      </c>
      <c r="AZ17" s="27">
        <v>1</v>
      </c>
      <c r="BA17" s="27">
        <v>1</v>
      </c>
      <c r="BB17" s="27">
        <v>1</v>
      </c>
      <c r="BC17" s="27">
        <v>1</v>
      </c>
      <c r="BD17" s="27">
        <v>1</v>
      </c>
      <c r="BE17" s="27">
        <v>1</v>
      </c>
      <c r="BF17" s="27">
        <v>1</v>
      </c>
      <c r="BG17" s="27">
        <v>1</v>
      </c>
      <c r="BH17" s="27">
        <v>1</v>
      </c>
    </row>
    <row r="18" spans="51:60" ht="15.75" x14ac:dyDescent="0.2">
      <c r="AY18" s="34" t="s">
        <v>167</v>
      </c>
      <c r="AZ18" s="27">
        <v>1.0985915492957747</v>
      </c>
      <c r="BA18" s="27">
        <v>1.0985915492957747</v>
      </c>
      <c r="BB18" s="27">
        <v>1.0985915492957747</v>
      </c>
      <c r="BC18" s="27">
        <v>1.0985915492957747</v>
      </c>
      <c r="BD18" s="27">
        <v>1.0985915492957747</v>
      </c>
      <c r="BE18" s="27">
        <v>1.0985915492957747</v>
      </c>
      <c r="BF18" s="27">
        <v>1.0985915492957747</v>
      </c>
      <c r="BG18" s="27">
        <v>1.0985915492957747</v>
      </c>
      <c r="BH18" s="27">
        <v>1.0985915492957747</v>
      </c>
    </row>
    <row r="19" spans="51:60" ht="15.75" x14ac:dyDescent="0.2">
      <c r="AY19" s="34" t="s">
        <v>15</v>
      </c>
      <c r="AZ19" s="27">
        <v>1.1169451073985679</v>
      </c>
      <c r="BA19" s="27">
        <v>1.1169451073985679</v>
      </c>
      <c r="BB19" s="27">
        <v>1.1169451073985679</v>
      </c>
      <c r="BC19" s="27">
        <v>1.1169451073985679</v>
      </c>
      <c r="BD19" s="27">
        <v>1.1169451073985679</v>
      </c>
      <c r="BE19" s="27">
        <v>1.1169451073985679</v>
      </c>
      <c r="BF19" s="27">
        <v>1.1169451073985679</v>
      </c>
      <c r="BG19" s="27">
        <v>1.1169451073985679</v>
      </c>
      <c r="BH19" s="27">
        <v>1.1169451073985679</v>
      </c>
    </row>
    <row r="20" spans="51:60" ht="15.75" x14ac:dyDescent="0.2">
      <c r="AY20" s="34" t="s">
        <v>16</v>
      </c>
      <c r="AZ20" s="27">
        <v>1.1196172248803828</v>
      </c>
      <c r="BA20" s="27">
        <v>1.1196172248803828</v>
      </c>
      <c r="BB20" s="27">
        <v>1.1196172248803828</v>
      </c>
      <c r="BC20" s="27">
        <v>1.1196172248803828</v>
      </c>
      <c r="BD20" s="27">
        <v>1.1196172248803828</v>
      </c>
      <c r="BE20" s="27">
        <v>1.1196172248803828</v>
      </c>
      <c r="BF20" s="27">
        <v>1.1196172248803828</v>
      </c>
      <c r="BG20" s="27">
        <v>1.1196172248803828</v>
      </c>
      <c r="BH20" s="27">
        <v>1.1196172248803828</v>
      </c>
    </row>
    <row r="21" spans="51:60" ht="15.75" x14ac:dyDescent="0.2">
      <c r="AY21" s="34" t="s">
        <v>17</v>
      </c>
      <c r="AZ21" s="27">
        <v>1.1169451073985679</v>
      </c>
      <c r="BA21" s="27">
        <v>1.1169451073985679</v>
      </c>
      <c r="BB21" s="27">
        <v>1.1169451073985679</v>
      </c>
      <c r="BC21" s="27">
        <v>1.1169451073985679</v>
      </c>
      <c r="BD21" s="27">
        <v>1.1169451073985679</v>
      </c>
      <c r="BE21" s="27">
        <v>1.1169451073985679</v>
      </c>
      <c r="BF21" s="27">
        <v>1.1169451073985679</v>
      </c>
      <c r="BG21" s="27">
        <v>1.1169451073985679</v>
      </c>
      <c r="BH21" s="27">
        <v>1.1169451073985679</v>
      </c>
    </row>
    <row r="22" spans="51:60" ht="15.75" x14ac:dyDescent="0.2">
      <c r="AY22" s="34" t="s">
        <v>18</v>
      </c>
      <c r="AZ22" s="27">
        <v>1.1277108433734939</v>
      </c>
      <c r="BA22" s="27">
        <v>1.1277108433734939</v>
      </c>
      <c r="BB22" s="27">
        <v>1.1277108433734939</v>
      </c>
      <c r="BC22" s="27">
        <v>1.1277108433734939</v>
      </c>
      <c r="BD22" s="27">
        <v>1.1277108433734939</v>
      </c>
      <c r="BE22" s="27">
        <v>1.1277108433734939</v>
      </c>
      <c r="BF22" s="27">
        <v>1.1277108433734939</v>
      </c>
      <c r="BG22" s="27">
        <v>1.1277108433734939</v>
      </c>
      <c r="BH22" s="27">
        <v>1.1277108433734939</v>
      </c>
    </row>
    <row r="23" spans="51:60" ht="15.75" x14ac:dyDescent="0.2">
      <c r="AY23" s="34" t="s">
        <v>19</v>
      </c>
      <c r="AZ23" s="27">
        <v>1.1818181818181817</v>
      </c>
      <c r="BA23" s="27">
        <v>1.1818181818181817</v>
      </c>
      <c r="BB23" s="27">
        <v>1.1818181818181817</v>
      </c>
      <c r="BC23" s="27">
        <v>1.1818181818181817</v>
      </c>
      <c r="BD23" s="27">
        <v>1.1818181818181817</v>
      </c>
      <c r="BE23" s="27">
        <v>1.1818181818181817</v>
      </c>
      <c r="BF23" s="27">
        <v>1.1818181818181817</v>
      </c>
      <c r="BG23" s="27">
        <v>1.1818181818181817</v>
      </c>
      <c r="BH23" s="27">
        <v>1.1818181818181817</v>
      </c>
    </row>
    <row r="24" spans="51:60" ht="15.75" x14ac:dyDescent="0.2">
      <c r="AY24" s="34" t="s">
        <v>20</v>
      </c>
      <c r="AZ24" s="27">
        <v>1.1555555555555554</v>
      </c>
      <c r="BA24" s="27">
        <v>1.1555555555555554</v>
      </c>
      <c r="BB24" s="27">
        <v>1.1555555555555554</v>
      </c>
      <c r="BC24" s="27">
        <v>1.1555555555555554</v>
      </c>
      <c r="BD24" s="27">
        <v>1.1555555555555554</v>
      </c>
      <c r="BE24" s="27">
        <v>1.1555555555555554</v>
      </c>
      <c r="BF24" s="27">
        <v>1.1555555555555554</v>
      </c>
      <c r="BG24" s="27">
        <v>1.1555555555555554</v>
      </c>
      <c r="BH24" s="27">
        <v>1.1555555555555554</v>
      </c>
    </row>
    <row r="25" spans="51:60" ht="15.75" x14ac:dyDescent="0.2">
      <c r="AY25" s="34" t="s">
        <v>21</v>
      </c>
      <c r="AZ25" s="27">
        <v>1.1878172588832487</v>
      </c>
      <c r="BA25" s="27">
        <v>1.1878172588832487</v>
      </c>
      <c r="BB25" s="27">
        <v>1.1878172588832487</v>
      </c>
      <c r="BC25" s="27">
        <v>1.1878172588832487</v>
      </c>
      <c r="BD25" s="27">
        <v>1.1878172588832487</v>
      </c>
      <c r="BE25" s="27">
        <v>1.1878172588832487</v>
      </c>
      <c r="BF25" s="27">
        <v>1.1878172588832487</v>
      </c>
      <c r="BG25" s="27">
        <v>1.1878172588832487</v>
      </c>
      <c r="BH25" s="27">
        <v>1.1878172588832487</v>
      </c>
    </row>
    <row r="26" spans="51:60" ht="15.75" x14ac:dyDescent="0.2">
      <c r="AY26" s="34" t="s">
        <v>168</v>
      </c>
      <c r="AZ26" s="27">
        <v>1.1331719128329298</v>
      </c>
      <c r="BA26" s="27">
        <v>1.1331719128329298</v>
      </c>
      <c r="BB26" s="27">
        <v>1.1331719128329298</v>
      </c>
      <c r="BC26" s="27">
        <v>1.1331719128329298</v>
      </c>
      <c r="BD26" s="27">
        <v>1.1331719128329298</v>
      </c>
      <c r="BE26" s="27">
        <v>1.1331719128329298</v>
      </c>
      <c r="BF26" s="27">
        <v>1.1331719128329298</v>
      </c>
      <c r="BG26" s="27">
        <v>1.1331719128329298</v>
      </c>
      <c r="BH26" s="27">
        <v>1.1331719128329298</v>
      </c>
    </row>
    <row r="30" spans="51:60" x14ac:dyDescent="0.2">
      <c r="AY30" s="33" t="s">
        <v>163</v>
      </c>
      <c r="AZ30" s="33" t="s">
        <v>147</v>
      </c>
      <c r="BA30" s="33" t="s">
        <v>148</v>
      </c>
      <c r="BB30" s="33" t="s">
        <v>149</v>
      </c>
      <c r="BC30" s="33" t="s">
        <v>150</v>
      </c>
      <c r="BD30" s="33" t="s">
        <v>151</v>
      </c>
      <c r="BE30" s="33" t="s">
        <v>152</v>
      </c>
      <c r="BF30" s="33" t="s">
        <v>153</v>
      </c>
      <c r="BG30" s="33" t="s">
        <v>154</v>
      </c>
      <c r="BH30" s="33" t="s">
        <v>155</v>
      </c>
    </row>
    <row r="31" spans="51:60" ht="15.75" x14ac:dyDescent="0.2">
      <c r="AY31" s="34" t="s">
        <v>166</v>
      </c>
      <c r="AZ31" s="27">
        <v>1.2985361555418864</v>
      </c>
      <c r="BA31" s="27">
        <v>1.2985361555418864</v>
      </c>
      <c r="BB31" s="27">
        <v>1.2985361555418864</v>
      </c>
      <c r="BC31" s="27">
        <v>1.2985361555418864</v>
      </c>
      <c r="BD31" s="27">
        <v>1.2985361555418864</v>
      </c>
      <c r="BE31" s="27">
        <v>1.2985361555418864</v>
      </c>
      <c r="BF31" s="27">
        <v>1.2985361555418864</v>
      </c>
      <c r="BG31" s="27">
        <v>1.2985361555418864</v>
      </c>
      <c r="BH31" s="27">
        <v>1.2985361555418864</v>
      </c>
    </row>
    <row r="32" spans="51:60" ht="15.75" x14ac:dyDescent="0.2">
      <c r="AY32" s="34" t="s">
        <v>167</v>
      </c>
      <c r="AZ32" s="27">
        <v>1.2832985624783839</v>
      </c>
      <c r="BA32" s="27">
        <v>1.2832985624783839</v>
      </c>
      <c r="BB32" s="27">
        <v>1.2832985624783839</v>
      </c>
      <c r="BC32" s="27">
        <v>1.2832985624783839</v>
      </c>
      <c r="BD32" s="27">
        <v>1.2832985624783839</v>
      </c>
      <c r="BE32" s="27">
        <v>1.2832985624783839</v>
      </c>
      <c r="BF32" s="27">
        <v>1.2832985624783839</v>
      </c>
      <c r="BG32" s="27">
        <v>1.2832985624783839</v>
      </c>
      <c r="BH32" s="27">
        <v>1.2832985624783839</v>
      </c>
    </row>
    <row r="33" spans="51:60" ht="15.75" x14ac:dyDescent="0.2">
      <c r="AY33" s="34" t="s">
        <v>15</v>
      </c>
      <c r="AZ33" s="27">
        <v>1.2949378154581965</v>
      </c>
      <c r="BA33" s="27">
        <v>1.2949378154581965</v>
      </c>
      <c r="BB33" s="27">
        <v>1.2949378154581965</v>
      </c>
      <c r="BC33" s="27">
        <v>1.2949378154581965</v>
      </c>
      <c r="BD33" s="27">
        <v>1.2949378154581965</v>
      </c>
      <c r="BE33" s="27">
        <v>1.2949378154581965</v>
      </c>
      <c r="BF33" s="27">
        <v>1.2949378154581965</v>
      </c>
      <c r="BG33" s="27">
        <v>1.2949378154581965</v>
      </c>
      <c r="BH33" s="27">
        <v>1.2949378154581965</v>
      </c>
    </row>
    <row r="34" spans="51:60" ht="15.75" x14ac:dyDescent="0.2">
      <c r="AY34" s="34" t="s">
        <v>16</v>
      </c>
      <c r="AZ34" s="27">
        <v>1.2674678321323023</v>
      </c>
      <c r="BA34" s="27">
        <v>1.2674678321323023</v>
      </c>
      <c r="BB34" s="27">
        <v>1.2674678321323023</v>
      </c>
      <c r="BC34" s="27">
        <v>1.2674678321323023</v>
      </c>
      <c r="BD34" s="27">
        <v>1.2674678321323023</v>
      </c>
      <c r="BE34" s="27">
        <v>1.2674678321323023</v>
      </c>
      <c r="BF34" s="27">
        <v>1.2674678321323023</v>
      </c>
      <c r="BG34" s="27">
        <v>1.2674678321323023</v>
      </c>
      <c r="BH34" s="27">
        <v>1.2674678321323023</v>
      </c>
    </row>
    <row r="35" spans="51:60" ht="15.75" x14ac:dyDescent="0.2">
      <c r="AY35" s="34" t="s">
        <v>17</v>
      </c>
      <c r="AZ35" s="27">
        <v>1.2418185830114639</v>
      </c>
      <c r="BA35" s="27">
        <v>1.2418185830114639</v>
      </c>
      <c r="BB35" s="27">
        <v>1.2418185830114639</v>
      </c>
      <c r="BC35" s="27">
        <v>1.2418185830114639</v>
      </c>
      <c r="BD35" s="27">
        <v>1.2418185830114639</v>
      </c>
      <c r="BE35" s="27">
        <v>1.2418185830114639</v>
      </c>
      <c r="BF35" s="27">
        <v>1.2418185830114639</v>
      </c>
      <c r="BG35" s="27">
        <v>1.2418185830114639</v>
      </c>
      <c r="BH35" s="27">
        <v>1.2418185830114639</v>
      </c>
    </row>
    <row r="36" spans="51:60" ht="15.75" x14ac:dyDescent="0.2">
      <c r="AY36" s="34" t="s">
        <v>18</v>
      </c>
      <c r="AZ36" s="27">
        <v>1.2176515333193401</v>
      </c>
      <c r="BA36" s="27">
        <v>1.2176515333193401</v>
      </c>
      <c r="BB36" s="27">
        <v>1.2176515333193401</v>
      </c>
      <c r="BC36" s="27">
        <v>1.2176515333193401</v>
      </c>
      <c r="BD36" s="27">
        <v>1.2176515333193401</v>
      </c>
      <c r="BE36" s="27">
        <v>1.2176515333193401</v>
      </c>
      <c r="BF36" s="27">
        <v>1.2176515333193401</v>
      </c>
      <c r="BG36" s="27">
        <v>1.2176515333193401</v>
      </c>
      <c r="BH36" s="27">
        <v>1.2176515333193401</v>
      </c>
    </row>
    <row r="37" spans="51:60" ht="15.75" x14ac:dyDescent="0.2">
      <c r="AY37" s="34" t="s">
        <v>19</v>
      </c>
      <c r="AZ37" s="27">
        <v>1.2057551189708848</v>
      </c>
      <c r="BA37" s="27">
        <v>1.2057551189708848</v>
      </c>
      <c r="BB37" s="27">
        <v>1.2057551189708848</v>
      </c>
      <c r="BC37" s="27">
        <v>1.2057551189708848</v>
      </c>
      <c r="BD37" s="27">
        <v>1.2057551189708848</v>
      </c>
      <c r="BE37" s="27">
        <v>1.2057551189708848</v>
      </c>
      <c r="BF37" s="27">
        <v>1.2057551189708848</v>
      </c>
      <c r="BG37" s="27">
        <v>1.2057551189708848</v>
      </c>
      <c r="BH37" s="27">
        <v>1.2057551189708848</v>
      </c>
    </row>
    <row r="38" spans="51:60" ht="15.75" x14ac:dyDescent="0.2">
      <c r="AY38" s="34" t="s">
        <v>20</v>
      </c>
      <c r="AZ38" s="27">
        <v>1.2663598320291523</v>
      </c>
      <c r="BA38" s="27">
        <v>1.2663598320291523</v>
      </c>
      <c r="BB38" s="27">
        <v>1.2663598320291523</v>
      </c>
      <c r="BC38" s="27">
        <v>1.2663598320291523</v>
      </c>
      <c r="BD38" s="27">
        <v>1.2663598320291523</v>
      </c>
      <c r="BE38" s="27">
        <v>1.2663598320291523</v>
      </c>
      <c r="BF38" s="27">
        <v>1.2663598320291523</v>
      </c>
      <c r="BG38" s="27">
        <v>1.2663598320291523</v>
      </c>
      <c r="BH38" s="27">
        <v>1.2663598320291523</v>
      </c>
    </row>
    <row r="39" spans="51:60" ht="15.75" x14ac:dyDescent="0.2">
      <c r="AY39" s="34" t="s">
        <v>21</v>
      </c>
      <c r="AZ39" s="27">
        <v>1.2561285082438991</v>
      </c>
      <c r="BA39" s="27">
        <v>1.2561285082438991</v>
      </c>
      <c r="BB39" s="27">
        <v>1.2561285082438991</v>
      </c>
      <c r="BC39" s="27">
        <v>1.2561285082438991</v>
      </c>
      <c r="BD39" s="27">
        <v>1.2561285082438991</v>
      </c>
      <c r="BE39" s="27">
        <v>1.2561285082438991</v>
      </c>
      <c r="BF39" s="27">
        <v>1.2561285082438991</v>
      </c>
      <c r="BG39" s="27">
        <v>1.2561285082438991</v>
      </c>
      <c r="BH39" s="27">
        <v>1.2561285082438991</v>
      </c>
    </row>
    <row r="40" spans="51:60" ht="15.75" x14ac:dyDescent="0.2">
      <c r="AY40" s="34" t="s">
        <v>168</v>
      </c>
      <c r="AZ40" s="27">
        <v>1.1962114020607155</v>
      </c>
      <c r="BA40" s="27">
        <v>1.1962114020607155</v>
      </c>
      <c r="BB40" s="27">
        <v>1.1962114020607155</v>
      </c>
      <c r="BC40" s="27">
        <v>1.1962114020607155</v>
      </c>
      <c r="BD40" s="27">
        <v>1.1962114020607155</v>
      </c>
      <c r="BE40" s="27">
        <v>1.1962114020607155</v>
      </c>
      <c r="BF40" s="27">
        <v>1.1962114020607155</v>
      </c>
      <c r="BG40" s="27">
        <v>1.1962114020607155</v>
      </c>
      <c r="BH40" s="27">
        <v>1.1962114020607155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2"/>
  <sheetViews>
    <sheetView topLeftCell="AB1" zoomScale="115" zoomScaleNormal="115" workbookViewId="0">
      <selection activeCell="AL2" sqref="AL2"/>
    </sheetView>
  </sheetViews>
  <sheetFormatPr defaultRowHeight="14.25" x14ac:dyDescent="0.2"/>
  <cols>
    <col min="5" max="5" width="12.5" customWidth="1"/>
    <col min="6" max="6" width="5.125" customWidth="1"/>
    <col min="7" max="7" width="20" customWidth="1"/>
  </cols>
  <sheetData>
    <row r="1" spans="1:50" ht="48" thickBot="1" x14ac:dyDescent="0.25">
      <c r="A1" s="15" t="s">
        <v>0</v>
      </c>
      <c r="B1" s="15" t="s">
        <v>1</v>
      </c>
      <c r="C1" s="15" t="s">
        <v>2</v>
      </c>
      <c r="D1" s="16" t="s">
        <v>35</v>
      </c>
      <c r="E1" s="16" t="s">
        <v>109</v>
      </c>
      <c r="F1" s="17"/>
      <c r="G1" s="17" t="s">
        <v>114</v>
      </c>
      <c r="H1" s="12" t="s">
        <v>96</v>
      </c>
      <c r="I1" s="13" t="s">
        <v>97</v>
      </c>
      <c r="J1" s="13" t="s">
        <v>98</v>
      </c>
      <c r="K1" s="13" t="s">
        <v>99</v>
      </c>
      <c r="L1" s="13" t="s">
        <v>100</v>
      </c>
      <c r="M1" s="13" t="s">
        <v>101</v>
      </c>
      <c r="N1" s="13" t="s">
        <v>102</v>
      </c>
      <c r="O1" s="13" t="s">
        <v>103</v>
      </c>
      <c r="P1" s="13" t="s">
        <v>104</v>
      </c>
      <c r="Q1" s="13" t="s">
        <v>105</v>
      </c>
      <c r="R1" s="13" t="s">
        <v>106</v>
      </c>
      <c r="S1" s="13" t="s">
        <v>107</v>
      </c>
      <c r="T1" s="14" t="s">
        <v>108</v>
      </c>
      <c r="V1" s="17" t="s">
        <v>116</v>
      </c>
      <c r="W1" s="12" t="s">
        <v>96</v>
      </c>
      <c r="X1" s="13" t="s">
        <v>97</v>
      </c>
      <c r="Y1" s="13" t="s">
        <v>98</v>
      </c>
      <c r="Z1" s="13" t="s">
        <v>99</v>
      </c>
      <c r="AA1" s="13" t="s">
        <v>100</v>
      </c>
      <c r="AB1" s="13" t="s">
        <v>101</v>
      </c>
      <c r="AC1" s="13" t="s">
        <v>102</v>
      </c>
      <c r="AD1" s="13" t="s">
        <v>103</v>
      </c>
      <c r="AE1" s="13" t="s">
        <v>104</v>
      </c>
      <c r="AF1" s="13" t="s">
        <v>105</v>
      </c>
      <c r="AG1" s="13" t="s">
        <v>106</v>
      </c>
      <c r="AH1" s="13" t="s">
        <v>107</v>
      </c>
      <c r="AI1" s="14" t="s">
        <v>108</v>
      </c>
      <c r="AK1" s="17" t="s">
        <v>139</v>
      </c>
      <c r="AL1" s="12" t="s">
        <v>96</v>
      </c>
      <c r="AM1" s="13" t="s">
        <v>97</v>
      </c>
      <c r="AN1" s="13" t="s">
        <v>98</v>
      </c>
      <c r="AO1" s="13" t="s">
        <v>99</v>
      </c>
      <c r="AP1" s="13" t="s">
        <v>100</v>
      </c>
      <c r="AQ1" s="13" t="s">
        <v>101</v>
      </c>
      <c r="AR1" s="13" t="s">
        <v>102</v>
      </c>
      <c r="AS1" s="13" t="s">
        <v>103</v>
      </c>
      <c r="AT1" s="13" t="s">
        <v>104</v>
      </c>
      <c r="AU1" s="13" t="s">
        <v>105</v>
      </c>
      <c r="AV1" s="13" t="s">
        <v>106</v>
      </c>
      <c r="AW1" s="13" t="s">
        <v>107</v>
      </c>
      <c r="AX1" s="14" t="s">
        <v>108</v>
      </c>
    </row>
    <row r="2" spans="1:50" ht="15" thickTop="1" x14ac:dyDescent="0.2">
      <c r="A2" t="s">
        <v>25</v>
      </c>
      <c r="B2">
        <v>121.6</v>
      </c>
      <c r="C2" s="3">
        <v>30.4</v>
      </c>
      <c r="D2" s="3">
        <v>0.81</v>
      </c>
      <c r="E2" s="3">
        <v>217.27</v>
      </c>
      <c r="H2" s="3">
        <f>H18*0.4*H17*8760/1000000</f>
        <v>172.71551875920002</v>
      </c>
      <c r="I2" s="3">
        <f>I18*0.4*I17*8760/1000000</f>
        <v>142.65614573224201</v>
      </c>
      <c r="J2" s="3">
        <f t="shared" ref="J2:T2" si="0">J18*0.4*J17*8760/1000000</f>
        <v>578.50734311040003</v>
      </c>
      <c r="K2" s="3">
        <f t="shared" si="0"/>
        <v>193.63262310720003</v>
      </c>
      <c r="L2" s="3">
        <f t="shared" si="0"/>
        <v>478.10524224000005</v>
      </c>
      <c r="M2" s="3">
        <f t="shared" si="0"/>
        <v>305.98735503360007</v>
      </c>
      <c r="N2" s="3">
        <f t="shared" si="0"/>
        <v>16.787470318152003</v>
      </c>
      <c r="O2" s="3">
        <f t="shared" si="0"/>
        <v>152.99367751680003</v>
      </c>
      <c r="P2" s="3">
        <f t="shared" si="0"/>
        <v>59.763155280000007</v>
      </c>
      <c r="Q2" s="3">
        <f t="shared" si="0"/>
        <v>193.63262310720003</v>
      </c>
      <c r="R2" s="3">
        <f t="shared" si="0"/>
        <v>43.178879689800006</v>
      </c>
      <c r="S2" s="3">
        <f t="shared" si="0"/>
        <v>13.201681001352005</v>
      </c>
      <c r="T2" s="3">
        <f t="shared" si="0"/>
        <v>305.98735503360007</v>
      </c>
      <c r="W2" s="18">
        <f>H18*0.4*H17/1000000/W16</f>
        <v>6.572127806666668E-2</v>
      </c>
      <c r="X2" s="18">
        <f t="shared" ref="X2:AI2" si="1">I18*0.4*I17/1000000/X16</f>
        <v>2.7141580238250005E-2</v>
      </c>
      <c r="Y2" s="18">
        <f t="shared" si="1"/>
        <v>3.3019825520000004E-2</v>
      </c>
      <c r="Z2" s="18">
        <f t="shared" si="1"/>
        <v>1.4736120480000003E-2</v>
      </c>
      <c r="AA2" s="18">
        <f t="shared" si="1"/>
        <v>2.7289112000000004E-2</v>
      </c>
      <c r="AB2" s="18">
        <f t="shared" si="1"/>
        <v>2.9108386133333341E-2</v>
      </c>
      <c r="AC2" s="18">
        <f t="shared" si="1"/>
        <v>1.7421617183636367E-2</v>
      </c>
      <c r="AD2" s="18">
        <f t="shared" si="1"/>
        <v>1.7465031680000003E-2</v>
      </c>
      <c r="AE2" s="18">
        <f t="shared" si="1"/>
        <v>6.8222780000000011E-3</v>
      </c>
      <c r="AF2" s="18">
        <f t="shared" si="1"/>
        <v>2.2104180720000005E-2</v>
      </c>
      <c r="AG2" s="18">
        <f t="shared" si="1"/>
        <v>4.9290958550000007E-2</v>
      </c>
      <c r="AH2" s="18">
        <f t="shared" si="1"/>
        <v>6.0767790733870985E-3</v>
      </c>
      <c r="AI2" s="18">
        <f t="shared" si="1"/>
        <v>1.7465031680000003E-2</v>
      </c>
      <c r="AL2" s="26">
        <f>H2/8760*1000</f>
        <v>19.716383420000003</v>
      </c>
      <c r="AM2" s="26">
        <f t="shared" ref="AM2:AX11" si="2">I2/8760*1000</f>
        <v>16.28494814295</v>
      </c>
      <c r="AN2" s="26">
        <f t="shared" si="2"/>
        <v>66.03965104000001</v>
      </c>
      <c r="AO2" s="26">
        <f t="shared" si="2"/>
        <v>22.104180720000006</v>
      </c>
      <c r="AP2" s="26">
        <f t="shared" si="2"/>
        <v>54.578224000000006</v>
      </c>
      <c r="AQ2" s="26">
        <f t="shared" si="2"/>
        <v>34.930063360000005</v>
      </c>
      <c r="AR2" s="26">
        <f t="shared" si="2"/>
        <v>1.9163778902000004</v>
      </c>
      <c r="AS2" s="26">
        <f t="shared" si="2"/>
        <v>17.465031680000003</v>
      </c>
      <c r="AT2" s="26">
        <f t="shared" si="2"/>
        <v>6.8222780000000007</v>
      </c>
      <c r="AU2" s="26">
        <f t="shared" si="2"/>
        <v>22.104180720000006</v>
      </c>
      <c r="AV2" s="26">
        <f t="shared" si="2"/>
        <v>4.9290958550000008</v>
      </c>
      <c r="AW2" s="26">
        <f t="shared" si="2"/>
        <v>1.5070412102000006</v>
      </c>
      <c r="AX2" s="26">
        <f t="shared" si="2"/>
        <v>34.930063360000005</v>
      </c>
    </row>
    <row r="3" spans="1:50" x14ac:dyDescent="0.2">
      <c r="A3" t="s">
        <v>26</v>
      </c>
      <c r="B3">
        <v>121.7</v>
      </c>
      <c r="C3" s="3">
        <v>30.22</v>
      </c>
      <c r="D3" s="3">
        <v>0.75</v>
      </c>
      <c r="E3" s="3">
        <v>217.88</v>
      </c>
      <c r="H3" s="3">
        <f>H19*0.4*H17*8760/1000000</f>
        <v>173.20042908479999</v>
      </c>
      <c r="I3" s="3">
        <f t="shared" ref="I3:S3" si="3">I19*0.4*I17*8760/1000000</f>
        <v>143.05666236544801</v>
      </c>
      <c r="J3" s="3">
        <f t="shared" si="3"/>
        <v>580.13154101759994</v>
      </c>
      <c r="K3" s="3">
        <f t="shared" si="3"/>
        <v>194.17625959680001</v>
      </c>
      <c r="L3" s="3">
        <f t="shared" si="3"/>
        <v>479.44755456000001</v>
      </c>
      <c r="M3" s="3">
        <f t="shared" si="3"/>
        <v>306.84643491840001</v>
      </c>
      <c r="N3" s="3">
        <f t="shared" si="3"/>
        <v>16.834602259488001</v>
      </c>
      <c r="O3" s="3">
        <f t="shared" si="3"/>
        <v>153.4232174592</v>
      </c>
      <c r="P3" s="3">
        <f t="shared" si="3"/>
        <v>59.930944320000002</v>
      </c>
      <c r="Q3" s="3">
        <f t="shared" si="3"/>
        <v>194.17625959680001</v>
      </c>
      <c r="R3" s="3">
        <f t="shared" si="3"/>
        <v>43.300107271199998</v>
      </c>
      <c r="S3" s="3">
        <f t="shared" si="3"/>
        <v>13.238745600288004</v>
      </c>
      <c r="T3" s="3">
        <f>T19*0.4*T17*8760/1000000</f>
        <v>306.84643491840001</v>
      </c>
      <c r="W3" s="18">
        <f>H19*0.4*H17/1000000/W16</f>
        <v>6.5905794933333331E-2</v>
      </c>
      <c r="X3" s="18">
        <f t="shared" ref="X3:AI3" si="4">I19*0.4*I17/1000000/X16</f>
        <v>2.7217782033000001E-2</v>
      </c>
      <c r="Y3" s="18">
        <f t="shared" si="4"/>
        <v>3.3112530879999998E-2</v>
      </c>
      <c r="Z3" s="18">
        <f t="shared" si="4"/>
        <v>1.4777493119999999E-2</v>
      </c>
      <c r="AA3" s="18">
        <f t="shared" si="4"/>
        <v>2.7365727999999999E-2</v>
      </c>
      <c r="AB3" s="18">
        <f t="shared" si="4"/>
        <v>2.9190109866666671E-2</v>
      </c>
      <c r="AC3" s="18">
        <f t="shared" si="4"/>
        <v>1.7470529534545455E-2</v>
      </c>
      <c r="AD3" s="18">
        <f t="shared" si="4"/>
        <v>1.7514065920000002E-2</v>
      </c>
      <c r="AE3" s="18">
        <f t="shared" si="4"/>
        <v>6.8414319999999997E-3</v>
      </c>
      <c r="AF3" s="18">
        <f t="shared" si="4"/>
        <v>2.2166239679999998E-2</v>
      </c>
      <c r="AG3" s="18">
        <f t="shared" si="4"/>
        <v>4.9429346199999995E-2</v>
      </c>
      <c r="AH3" s="18">
        <f t="shared" si="4"/>
        <v>6.0938400354838725E-3</v>
      </c>
      <c r="AI3" s="18">
        <f t="shared" si="4"/>
        <v>1.7514065920000002E-2</v>
      </c>
      <c r="AL3" s="26">
        <f t="shared" ref="AL3:AL11" si="5">H3/8760*1000</f>
        <v>19.77173848</v>
      </c>
      <c r="AM3" s="26">
        <f t="shared" si="2"/>
        <v>16.330669219800001</v>
      </c>
      <c r="AN3" s="26">
        <f t="shared" si="2"/>
        <v>66.225061759999988</v>
      </c>
      <c r="AO3" s="26">
        <f t="shared" si="2"/>
        <v>22.16623968</v>
      </c>
      <c r="AP3" s="26">
        <f t="shared" si="2"/>
        <v>54.731456000000001</v>
      </c>
      <c r="AQ3" s="26">
        <f t="shared" si="2"/>
        <v>35.028131840000007</v>
      </c>
      <c r="AR3" s="26">
        <f t="shared" si="2"/>
        <v>1.9217582488</v>
      </c>
      <c r="AS3" s="26">
        <f t="shared" si="2"/>
        <v>17.514065920000004</v>
      </c>
      <c r="AT3" s="26">
        <f t="shared" si="2"/>
        <v>6.8414320000000002</v>
      </c>
      <c r="AU3" s="26">
        <f t="shared" si="2"/>
        <v>22.16623968</v>
      </c>
      <c r="AV3" s="26">
        <f t="shared" si="2"/>
        <v>4.9429346199999999</v>
      </c>
      <c r="AW3" s="26">
        <f t="shared" si="2"/>
        <v>1.5112723288000003</v>
      </c>
      <c r="AX3" s="26">
        <f t="shared" si="2"/>
        <v>35.028131840000007</v>
      </c>
    </row>
    <row r="4" spans="1:50" x14ac:dyDescent="0.2">
      <c r="A4" t="s">
        <v>27</v>
      </c>
      <c r="B4">
        <v>121.8</v>
      </c>
      <c r="C4" s="3">
        <v>30.12</v>
      </c>
      <c r="D4" s="3">
        <v>0.8</v>
      </c>
      <c r="E4" s="3">
        <v>268.64999999999998</v>
      </c>
      <c r="H4" s="3">
        <f>H20*0.4*H17*8760/1000000</f>
        <v>213.55927700399999</v>
      </c>
      <c r="I4" s="3">
        <f t="shared" ref="I4:S4" si="6">I20*0.4*I17*8760/1000000</f>
        <v>176.39146477179</v>
      </c>
      <c r="J4" s="3">
        <f t="shared" si="6"/>
        <v>715.31273404799992</v>
      </c>
      <c r="K4" s="3">
        <f t="shared" si="6"/>
        <v>239.42285726399996</v>
      </c>
      <c r="L4" s="3">
        <f t="shared" si="6"/>
        <v>591.16754879999996</v>
      </c>
      <c r="M4" s="3">
        <f t="shared" si="6"/>
        <v>378.34723123200001</v>
      </c>
      <c r="N4" s="3">
        <f t="shared" si="6"/>
        <v>20.757370557239998</v>
      </c>
      <c r="O4" s="3">
        <f t="shared" si="6"/>
        <v>189.17361561600001</v>
      </c>
      <c r="P4" s="3">
        <f t="shared" si="6"/>
        <v>73.895943599999995</v>
      </c>
      <c r="Q4" s="3">
        <f t="shared" si="6"/>
        <v>239.42285726399996</v>
      </c>
      <c r="R4" s="3">
        <f t="shared" si="6"/>
        <v>53.389819250999999</v>
      </c>
      <c r="S4" s="3">
        <f t="shared" si="6"/>
        <v>16.323613941240005</v>
      </c>
      <c r="T4" s="3">
        <f>T20*0.4*T17*8760/1000000</f>
        <v>378.34723123200001</v>
      </c>
      <c r="W4" s="18">
        <f>H20*0.4*H17/1000000/W16</f>
        <v>8.1263043000000007E-2</v>
      </c>
      <c r="X4" s="18">
        <f t="shared" ref="X4:AI4" si="7">I20*0.4*I17/1000000/X16</f>
        <v>3.3560019933749997E-2</v>
      </c>
      <c r="Y4" s="18">
        <f t="shared" si="7"/>
        <v>4.0828352399999997E-2</v>
      </c>
      <c r="Z4" s="18">
        <f t="shared" si="7"/>
        <v>1.8220917599999997E-2</v>
      </c>
      <c r="AA4" s="18">
        <f t="shared" si="7"/>
        <v>3.3742439999999992E-2</v>
      </c>
      <c r="AB4" s="18">
        <f t="shared" si="7"/>
        <v>3.5991936000000002E-2</v>
      </c>
      <c r="AC4" s="18">
        <f t="shared" si="7"/>
        <v>2.1541480445454547E-2</v>
      </c>
      <c r="AD4" s="18">
        <f t="shared" si="7"/>
        <v>2.1595161599999999E-2</v>
      </c>
      <c r="AE4" s="18">
        <f t="shared" si="7"/>
        <v>8.4356099999999979E-3</v>
      </c>
      <c r="AF4" s="18">
        <f t="shared" si="7"/>
        <v>2.7331376399999996E-2</v>
      </c>
      <c r="AG4" s="18">
        <f t="shared" si="7"/>
        <v>6.0947282249999998E-2</v>
      </c>
      <c r="AH4" s="18">
        <f t="shared" si="7"/>
        <v>7.5138155201612917E-3</v>
      </c>
      <c r="AI4" s="18">
        <f t="shared" si="7"/>
        <v>2.1595161599999999E-2</v>
      </c>
      <c r="AL4" s="26">
        <f t="shared" si="5"/>
        <v>24.3789129</v>
      </c>
      <c r="AM4" s="26">
        <f t="shared" si="2"/>
        <v>20.136011960249999</v>
      </c>
      <c r="AN4" s="26">
        <f t="shared" si="2"/>
        <v>81.6567048</v>
      </c>
      <c r="AO4" s="26">
        <f t="shared" si="2"/>
        <v>27.331376399999996</v>
      </c>
      <c r="AP4" s="26">
        <f t="shared" si="2"/>
        <v>67.484880000000004</v>
      </c>
      <c r="AQ4" s="26">
        <f t="shared" si="2"/>
        <v>43.190323200000002</v>
      </c>
      <c r="AR4" s="26">
        <f t="shared" si="2"/>
        <v>2.3695628489999998</v>
      </c>
      <c r="AS4" s="26">
        <f t="shared" si="2"/>
        <v>21.595161600000001</v>
      </c>
      <c r="AT4" s="26">
        <f t="shared" si="2"/>
        <v>8.4356100000000005</v>
      </c>
      <c r="AU4" s="26">
        <f t="shared" si="2"/>
        <v>27.331376399999996</v>
      </c>
      <c r="AV4" s="26">
        <f t="shared" si="2"/>
        <v>6.0947282249999999</v>
      </c>
      <c r="AW4" s="26">
        <f t="shared" si="2"/>
        <v>1.8634262490000006</v>
      </c>
      <c r="AX4" s="26">
        <f t="shared" si="2"/>
        <v>43.190323200000002</v>
      </c>
    </row>
    <row r="5" spans="1:50" x14ac:dyDescent="0.2">
      <c r="A5" t="s">
        <v>28</v>
      </c>
      <c r="B5">
        <v>121.8</v>
      </c>
      <c r="C5" s="3">
        <v>30.16</v>
      </c>
      <c r="D5" s="3">
        <v>0.81</v>
      </c>
      <c r="E5" s="3">
        <v>273.81</v>
      </c>
      <c r="H5" s="3">
        <f>H21*0.4*H17*8760/1000000</f>
        <v>217.66114139760001</v>
      </c>
      <c r="I5" s="3">
        <f t="shared" ref="I5:S5" si="8">I21*0.4*I17*8760/1000000</f>
        <v>179.779441537926</v>
      </c>
      <c r="J5" s="3">
        <f t="shared" si="8"/>
        <v>729.05185077120007</v>
      </c>
      <c r="K5" s="3">
        <f t="shared" si="8"/>
        <v>244.0214872416</v>
      </c>
      <c r="L5" s="3">
        <f t="shared" si="8"/>
        <v>602.52219072000003</v>
      </c>
      <c r="M5" s="3">
        <f t="shared" si="8"/>
        <v>385.61420206080004</v>
      </c>
      <c r="N5" s="3">
        <f t="shared" si="8"/>
        <v>21.156060421656001</v>
      </c>
      <c r="O5" s="3">
        <f t="shared" si="8"/>
        <v>192.80710103040002</v>
      </c>
      <c r="P5" s="3">
        <f t="shared" si="8"/>
        <v>75.315273840000003</v>
      </c>
      <c r="Q5" s="3">
        <f t="shared" si="8"/>
        <v>244.0214872416</v>
      </c>
      <c r="R5" s="3">
        <f t="shared" si="8"/>
        <v>54.415285349400001</v>
      </c>
      <c r="S5" s="3">
        <f t="shared" si="8"/>
        <v>16.637143991256004</v>
      </c>
      <c r="T5" s="3">
        <f>T21*0.4*T17*8760/1000000</f>
        <v>385.61420206080004</v>
      </c>
      <c r="W5" s="18">
        <f>H21*0.4*H17/1000000/W16</f>
        <v>8.2823874200000008E-2</v>
      </c>
      <c r="X5" s="18">
        <f t="shared" ref="X5:AI5" si="9">I21*0.4*I17/1000000/X16</f>
        <v>3.4204612164750001E-2</v>
      </c>
      <c r="Y5" s="18">
        <f t="shared" si="9"/>
        <v>4.1612548560000004E-2</v>
      </c>
      <c r="Z5" s="18">
        <f t="shared" si="9"/>
        <v>1.8570889440000002E-2</v>
      </c>
      <c r="AA5" s="18">
        <f t="shared" si="9"/>
        <v>3.4390535999999999E-2</v>
      </c>
      <c r="AB5" s="18">
        <f t="shared" si="9"/>
        <v>3.6683238400000005E-2</v>
      </c>
      <c r="AC5" s="18">
        <f t="shared" si="9"/>
        <v>2.1955230823636363E-2</v>
      </c>
      <c r="AD5" s="18">
        <f t="shared" si="9"/>
        <v>2.200994304E-2</v>
      </c>
      <c r="AE5" s="18">
        <f t="shared" si="9"/>
        <v>8.5976339999999998E-3</v>
      </c>
      <c r="AF5" s="18">
        <f t="shared" si="9"/>
        <v>2.7856334160000003E-2</v>
      </c>
      <c r="AG5" s="18">
        <f t="shared" si="9"/>
        <v>6.2117905649999999E-2</v>
      </c>
      <c r="AH5" s="18">
        <f t="shared" si="9"/>
        <v>7.6581344782258075E-3</v>
      </c>
      <c r="AI5" s="18">
        <f t="shared" si="9"/>
        <v>2.200994304E-2</v>
      </c>
      <c r="AL5" s="26">
        <f t="shared" si="5"/>
        <v>24.847162260000001</v>
      </c>
      <c r="AM5" s="26">
        <f t="shared" si="2"/>
        <v>20.522767298850003</v>
      </c>
      <c r="AN5" s="26">
        <f t="shared" si="2"/>
        <v>83.225097120000001</v>
      </c>
      <c r="AO5" s="26">
        <f t="shared" si="2"/>
        <v>27.856334159999999</v>
      </c>
      <c r="AP5" s="26">
        <f t="shared" si="2"/>
        <v>68.781071999999995</v>
      </c>
      <c r="AQ5" s="26">
        <f t="shared" si="2"/>
        <v>44.019886080000006</v>
      </c>
      <c r="AR5" s="26">
        <f t="shared" si="2"/>
        <v>2.4150753906000002</v>
      </c>
      <c r="AS5" s="26">
        <f t="shared" si="2"/>
        <v>22.009943040000003</v>
      </c>
      <c r="AT5" s="26">
        <f t="shared" si="2"/>
        <v>8.5976339999999993</v>
      </c>
      <c r="AU5" s="26">
        <f t="shared" si="2"/>
        <v>27.856334159999999</v>
      </c>
      <c r="AV5" s="26">
        <f t="shared" si="2"/>
        <v>6.2117905650000003</v>
      </c>
      <c r="AW5" s="26">
        <f t="shared" si="2"/>
        <v>1.8992173506000003</v>
      </c>
      <c r="AX5" s="26">
        <f t="shared" si="2"/>
        <v>44.019886080000006</v>
      </c>
    </row>
    <row r="6" spans="1:50" x14ac:dyDescent="0.2">
      <c r="A6" t="s">
        <v>29</v>
      </c>
      <c r="B6">
        <v>122.2</v>
      </c>
      <c r="C6" s="3">
        <v>30.36</v>
      </c>
      <c r="D6" s="3">
        <v>0.89</v>
      </c>
      <c r="E6" s="3">
        <v>365.5</v>
      </c>
      <c r="H6" s="3">
        <f>H22*0.4*H17*8760/1000000</f>
        <v>290.54872788000006</v>
      </c>
      <c r="I6" s="3">
        <f t="shared" ref="I6:T6" si="10">I22*0.4*I17*8760/1000000</f>
        <v>239.98168760130002</v>
      </c>
      <c r="J6" s="3">
        <f t="shared" si="10"/>
        <v>973.18743456000004</v>
      </c>
      <c r="K6" s="3">
        <f t="shared" si="10"/>
        <v>325.73629008000006</v>
      </c>
      <c r="L6" s="3">
        <f t="shared" si="10"/>
        <v>804.28713600000003</v>
      </c>
      <c r="M6" s="3">
        <f t="shared" si="10"/>
        <v>514.74376704000008</v>
      </c>
      <c r="N6" s="3">
        <f t="shared" si="10"/>
        <v>28.240532062800003</v>
      </c>
      <c r="O6" s="3">
        <f t="shared" si="10"/>
        <v>257.37188352000004</v>
      </c>
      <c r="P6" s="3">
        <f t="shared" si="10"/>
        <v>100.535892</v>
      </c>
      <c r="Q6" s="3">
        <f t="shared" si="10"/>
        <v>325.73629008000006</v>
      </c>
      <c r="R6" s="3">
        <f t="shared" si="10"/>
        <v>72.637181970000015</v>
      </c>
      <c r="S6" s="3">
        <f t="shared" si="10"/>
        <v>22.208378542800009</v>
      </c>
      <c r="T6" s="3">
        <f t="shared" si="10"/>
        <v>514.74376704000008</v>
      </c>
      <c r="W6" s="18">
        <f>H22*0.4*H17/1000000/W16</f>
        <v>0.11055887666666669</v>
      </c>
      <c r="X6" s="18">
        <f t="shared" ref="X6:AI6" si="11">I22*0.4*I17/1000000/X16</f>
        <v>4.5658616362500008E-2</v>
      </c>
      <c r="Y6" s="18">
        <f t="shared" si="11"/>
        <v>5.5547228000000004E-2</v>
      </c>
      <c r="Z6" s="18">
        <f t="shared" si="11"/>
        <v>2.4789672000000002E-2</v>
      </c>
      <c r="AA6" s="18">
        <f t="shared" si="11"/>
        <v>4.5906800000000005E-2</v>
      </c>
      <c r="AB6" s="18">
        <f t="shared" si="11"/>
        <v>4.8967253333333342E-2</v>
      </c>
      <c r="AC6" s="18">
        <f t="shared" si="11"/>
        <v>2.9307318454545459E-2</v>
      </c>
      <c r="AD6" s="18">
        <f t="shared" si="11"/>
        <v>2.9380352000000005E-2</v>
      </c>
      <c r="AE6" s="18">
        <f t="shared" si="11"/>
        <v>1.1476700000000001E-2</v>
      </c>
      <c r="AF6" s="18">
        <f t="shared" si="11"/>
        <v>3.7184508000000005E-2</v>
      </c>
      <c r="AG6" s="18">
        <f t="shared" si="11"/>
        <v>8.2919157500000007E-2</v>
      </c>
      <c r="AH6" s="18">
        <f t="shared" si="11"/>
        <v>1.0222592862903229E-2</v>
      </c>
      <c r="AI6" s="18">
        <f t="shared" si="11"/>
        <v>2.9380352000000005E-2</v>
      </c>
      <c r="AL6" s="29">
        <f t="shared" si="5"/>
        <v>33.167663000000005</v>
      </c>
      <c r="AM6" s="26">
        <f t="shared" si="2"/>
        <v>27.395169817500001</v>
      </c>
      <c r="AN6" s="26">
        <f t="shared" si="2"/>
        <v>111.09445600000001</v>
      </c>
      <c r="AO6" s="26">
        <f t="shared" si="2"/>
        <v>37.184508000000008</v>
      </c>
      <c r="AP6" s="26">
        <f t="shared" si="2"/>
        <v>91.813600000000008</v>
      </c>
      <c r="AQ6" s="26">
        <f t="shared" si="2"/>
        <v>58.760704000000011</v>
      </c>
      <c r="AR6" s="26">
        <f t="shared" si="2"/>
        <v>3.2238050300000003</v>
      </c>
      <c r="AS6" s="26">
        <f t="shared" si="2"/>
        <v>29.380352000000006</v>
      </c>
      <c r="AT6" s="26">
        <f t="shared" si="2"/>
        <v>11.476700000000001</v>
      </c>
      <c r="AU6" s="26">
        <f t="shared" si="2"/>
        <v>37.184508000000008</v>
      </c>
      <c r="AV6" s="26">
        <f t="shared" si="2"/>
        <v>8.2919157500000011</v>
      </c>
      <c r="AW6" s="26">
        <f t="shared" si="2"/>
        <v>2.5352030300000008</v>
      </c>
      <c r="AX6" s="26">
        <f t="shared" si="2"/>
        <v>58.760704000000011</v>
      </c>
    </row>
    <row r="7" spans="1:50" x14ac:dyDescent="0.2">
      <c r="A7" t="s">
        <v>30</v>
      </c>
      <c r="B7">
        <v>122.4</v>
      </c>
      <c r="C7" s="3">
        <v>29.66</v>
      </c>
      <c r="D7" s="3">
        <v>0.73</v>
      </c>
      <c r="E7" s="3">
        <v>189.63</v>
      </c>
      <c r="H7" s="3">
        <f>H23*0.4*H17*8760/1000000</f>
        <v>150.7435164648</v>
      </c>
      <c r="I7" s="3">
        <f t="shared" ref="I7:T7" si="12">I23*0.4*I17*8760/1000000</f>
        <v>124.508146155498</v>
      </c>
      <c r="J7" s="3">
        <f t="shared" si="12"/>
        <v>504.91253957760006</v>
      </c>
      <c r="K7" s="3">
        <f t="shared" si="12"/>
        <v>168.9996516768</v>
      </c>
      <c r="L7" s="3">
        <f t="shared" si="12"/>
        <v>417.28309056000006</v>
      </c>
      <c r="M7" s="3">
        <f t="shared" si="12"/>
        <v>267.06117795840004</v>
      </c>
      <c r="N7" s="3">
        <f t="shared" si="12"/>
        <v>14.651852517288001</v>
      </c>
      <c r="O7" s="3">
        <f t="shared" si="12"/>
        <v>133.53058897920002</v>
      </c>
      <c r="P7" s="3">
        <f t="shared" si="12"/>
        <v>52.160386320000008</v>
      </c>
      <c r="Q7" s="3">
        <f t="shared" si="12"/>
        <v>168.9996516768</v>
      </c>
      <c r="R7" s="3">
        <f t="shared" si="12"/>
        <v>37.685879116199999</v>
      </c>
      <c r="S7" s="3">
        <f t="shared" si="12"/>
        <v>11.522229338088003</v>
      </c>
      <c r="T7" s="3">
        <f t="shared" si="12"/>
        <v>267.06117795840004</v>
      </c>
      <c r="W7" s="18">
        <f>H23*0.4*H17/1000000/W16</f>
        <v>5.7360546599999999E-2</v>
      </c>
      <c r="X7" s="18">
        <f t="shared" ref="X7:AI7" si="13">I23*0.4*I17/1000000/X16</f>
        <v>2.3688764489249999E-2</v>
      </c>
      <c r="Y7" s="18">
        <f t="shared" si="13"/>
        <v>2.8819208880000002E-2</v>
      </c>
      <c r="Z7" s="18">
        <f t="shared" si="13"/>
        <v>1.286146512E-2</v>
      </c>
      <c r="AA7" s="18">
        <f t="shared" si="13"/>
        <v>2.3817528000000001E-2</v>
      </c>
      <c r="AB7" s="18">
        <f t="shared" si="13"/>
        <v>2.5405363200000003E-2</v>
      </c>
      <c r="AC7" s="18">
        <f t="shared" si="13"/>
        <v>1.5205326398181817E-2</v>
      </c>
      <c r="AD7" s="18">
        <f t="shared" si="13"/>
        <v>1.5243217920000001E-2</v>
      </c>
      <c r="AE7" s="18">
        <f t="shared" si="13"/>
        <v>5.9543820000000003E-3</v>
      </c>
      <c r="AF7" s="18">
        <f t="shared" si="13"/>
        <v>1.9292197680000001E-2</v>
      </c>
      <c r="AG7" s="18">
        <f t="shared" si="13"/>
        <v>4.3020409949999998E-2</v>
      </c>
      <c r="AH7" s="18">
        <f t="shared" si="13"/>
        <v>5.3037217088709697E-3</v>
      </c>
      <c r="AI7" s="18">
        <f t="shared" si="13"/>
        <v>1.5243217920000001E-2</v>
      </c>
      <c r="AL7" s="26">
        <f t="shared" si="5"/>
        <v>17.208163979999998</v>
      </c>
      <c r="AM7" s="26">
        <f t="shared" si="2"/>
        <v>14.213258693549999</v>
      </c>
      <c r="AN7" s="26">
        <f t="shared" si="2"/>
        <v>57.638417760000003</v>
      </c>
      <c r="AO7" s="26">
        <f t="shared" si="2"/>
        <v>19.292197680000001</v>
      </c>
      <c r="AP7" s="26">
        <f t="shared" si="2"/>
        <v>47.635056000000006</v>
      </c>
      <c r="AQ7" s="26">
        <f t="shared" si="2"/>
        <v>30.486435840000002</v>
      </c>
      <c r="AR7" s="26">
        <f t="shared" si="2"/>
        <v>1.6725859037999999</v>
      </c>
      <c r="AS7" s="26">
        <f t="shared" si="2"/>
        <v>15.243217920000001</v>
      </c>
      <c r="AT7" s="26">
        <f t="shared" si="2"/>
        <v>5.9543820000000007</v>
      </c>
      <c r="AU7" s="26">
        <f t="shared" si="2"/>
        <v>19.292197680000001</v>
      </c>
      <c r="AV7" s="26">
        <f t="shared" si="2"/>
        <v>4.3020409949999996</v>
      </c>
      <c r="AW7" s="26">
        <f t="shared" si="2"/>
        <v>1.3153229838000002</v>
      </c>
      <c r="AX7" s="26">
        <f t="shared" si="2"/>
        <v>30.486435840000002</v>
      </c>
    </row>
    <row r="8" spans="1:50" x14ac:dyDescent="0.2">
      <c r="A8" t="s">
        <v>31</v>
      </c>
      <c r="B8">
        <v>122.2</v>
      </c>
      <c r="C8" s="3">
        <v>30.64</v>
      </c>
      <c r="D8" s="3">
        <v>0.84</v>
      </c>
      <c r="E8" s="3">
        <v>303.8</v>
      </c>
      <c r="H8" s="3">
        <f>H24*0.4*H17*8760/1000000</f>
        <v>241.50124084800001</v>
      </c>
      <c r="I8" s="3">
        <f t="shared" ref="I8:T8" si="14">I24*0.4*I17*8760/1000000</f>
        <v>199.47041502948002</v>
      </c>
      <c r="J8" s="3">
        <f t="shared" si="14"/>
        <v>808.90381017600009</v>
      </c>
      <c r="K8" s="3">
        <f t="shared" si="14"/>
        <v>270.74879596799997</v>
      </c>
      <c r="L8" s="3">
        <f t="shared" si="14"/>
        <v>668.51554560000011</v>
      </c>
      <c r="M8" s="3">
        <f t="shared" si="14"/>
        <v>427.84994918400002</v>
      </c>
      <c r="N8" s="3">
        <f t="shared" si="14"/>
        <v>23.473252094880003</v>
      </c>
      <c r="O8" s="3">
        <f t="shared" si="14"/>
        <v>213.92497459200001</v>
      </c>
      <c r="P8" s="3">
        <f t="shared" si="14"/>
        <v>83.564443200000014</v>
      </c>
      <c r="Q8" s="3">
        <f t="shared" si="14"/>
        <v>270.74879596799997</v>
      </c>
      <c r="R8" s="3">
        <f t="shared" si="14"/>
        <v>60.375310212000002</v>
      </c>
      <c r="S8" s="3">
        <f t="shared" si="14"/>
        <v>18.459385502880004</v>
      </c>
      <c r="T8" s="3">
        <f t="shared" si="14"/>
        <v>427.84994918400002</v>
      </c>
      <c r="W8" s="18">
        <f>H24*0.4*H17/1000000/W16</f>
        <v>9.1895449333333337E-2</v>
      </c>
      <c r="X8" s="18">
        <f t="shared" ref="X8:AI8" si="15">I24*0.4*I17/1000000/X16</f>
        <v>3.7950992205000006E-2</v>
      </c>
      <c r="Y8" s="18">
        <f t="shared" si="15"/>
        <v>4.6170308800000004E-2</v>
      </c>
      <c r="Z8" s="18">
        <f t="shared" si="15"/>
        <v>2.0604931200000003E-2</v>
      </c>
      <c r="AA8" s="18">
        <f t="shared" si="15"/>
        <v>3.8157280000000009E-2</v>
      </c>
      <c r="AB8" s="18">
        <f t="shared" si="15"/>
        <v>4.0701098666666671E-2</v>
      </c>
      <c r="AC8" s="18">
        <f t="shared" si="15"/>
        <v>2.4359954436363639E-2</v>
      </c>
      <c r="AD8" s="18">
        <f t="shared" si="15"/>
        <v>2.4420659200000003E-2</v>
      </c>
      <c r="AE8" s="18">
        <f t="shared" si="15"/>
        <v>9.5393200000000022E-3</v>
      </c>
      <c r="AF8" s="18">
        <f t="shared" si="15"/>
        <v>3.0907396800000004E-2</v>
      </c>
      <c r="AG8" s="18">
        <f t="shared" si="15"/>
        <v>6.8921587000000006E-2</v>
      </c>
      <c r="AH8" s="18">
        <f t="shared" si="15"/>
        <v>8.4969185000000023E-3</v>
      </c>
      <c r="AI8" s="18">
        <f t="shared" si="15"/>
        <v>2.4420659200000003E-2</v>
      </c>
      <c r="AL8" s="26">
        <f t="shared" si="5"/>
        <v>27.568634800000002</v>
      </c>
      <c r="AM8" s="26">
        <f t="shared" si="2"/>
        <v>22.770595323000002</v>
      </c>
      <c r="AN8" s="26">
        <f t="shared" si="2"/>
        <v>92.340617600000002</v>
      </c>
      <c r="AO8" s="26">
        <f t="shared" si="2"/>
        <v>30.907396799999997</v>
      </c>
      <c r="AP8" s="26">
        <f t="shared" si="2"/>
        <v>76.314560000000014</v>
      </c>
      <c r="AQ8" s="26">
        <f t="shared" si="2"/>
        <v>48.841318399999999</v>
      </c>
      <c r="AR8" s="26">
        <f t="shared" si="2"/>
        <v>2.6795949880000003</v>
      </c>
      <c r="AS8" s="26">
        <f t="shared" si="2"/>
        <v>24.420659199999999</v>
      </c>
      <c r="AT8" s="26">
        <f t="shared" si="2"/>
        <v>9.5393200000000018</v>
      </c>
      <c r="AU8" s="26">
        <f t="shared" si="2"/>
        <v>30.907396799999997</v>
      </c>
      <c r="AV8" s="26">
        <f t="shared" si="2"/>
        <v>6.8921587000000004</v>
      </c>
      <c r="AW8" s="26">
        <f t="shared" si="2"/>
        <v>2.1072357880000006</v>
      </c>
      <c r="AX8" s="26">
        <f t="shared" si="2"/>
        <v>48.841318399999999</v>
      </c>
    </row>
    <row r="9" spans="1:50" x14ac:dyDescent="0.2">
      <c r="A9" t="s">
        <v>32</v>
      </c>
      <c r="B9">
        <v>122.3</v>
      </c>
      <c r="C9" s="3">
        <v>30.7</v>
      </c>
      <c r="D9" s="3">
        <v>0.77</v>
      </c>
      <c r="E9" s="3">
        <v>236.35</v>
      </c>
      <c r="H9" s="3">
        <f>H25*0.4*H17*8760/1000000</f>
        <v>187.88287779600003</v>
      </c>
      <c r="I9" s="3">
        <f t="shared" ref="I9:T9" si="16">I25*0.4*I17*8760/1000000</f>
        <v>155.18378075121001</v>
      </c>
      <c r="J9" s="3">
        <f t="shared" si="16"/>
        <v>629.31012355200005</v>
      </c>
      <c r="K9" s="3">
        <f t="shared" si="16"/>
        <v>210.636859536</v>
      </c>
      <c r="L9" s="3">
        <f t="shared" si="16"/>
        <v>520.09101120000003</v>
      </c>
      <c r="M9" s="3">
        <f t="shared" si="16"/>
        <v>332.85824716800005</v>
      </c>
      <c r="N9" s="3">
        <f t="shared" si="16"/>
        <v>18.261695630759998</v>
      </c>
      <c r="O9" s="3">
        <f t="shared" si="16"/>
        <v>166.42912358400002</v>
      </c>
      <c r="P9" s="3">
        <f t="shared" si="16"/>
        <v>65.011376400000003</v>
      </c>
      <c r="Q9" s="3">
        <f t="shared" si="16"/>
        <v>210.636859536</v>
      </c>
      <c r="R9" s="3">
        <f t="shared" si="16"/>
        <v>46.970719449000008</v>
      </c>
      <c r="S9" s="3">
        <f t="shared" si="16"/>
        <v>14.361013046760004</v>
      </c>
      <c r="T9" s="3">
        <f t="shared" si="16"/>
        <v>332.85824716800005</v>
      </c>
      <c r="W9" s="18">
        <f>H25*0.4*H17/1000000/W16</f>
        <v>7.1492723666666674E-2</v>
      </c>
      <c r="X9" s="18">
        <f t="shared" ref="X9:AI9" si="17">I25*0.4*I17/1000000/X16</f>
        <v>2.9525072441250005E-2</v>
      </c>
      <c r="Y9" s="18">
        <f t="shared" si="17"/>
        <v>3.5919527600000001E-2</v>
      </c>
      <c r="Z9" s="18">
        <f t="shared" si="17"/>
        <v>1.6030202400000002E-2</v>
      </c>
      <c r="AA9" s="18">
        <f t="shared" si="17"/>
        <v>2.968556E-2</v>
      </c>
      <c r="AB9" s="18">
        <f t="shared" si="17"/>
        <v>3.1664597333333343E-2</v>
      </c>
      <c r="AC9" s="18">
        <f t="shared" si="17"/>
        <v>1.8951531372727273E-2</v>
      </c>
      <c r="AD9" s="18">
        <f t="shared" si="17"/>
        <v>1.8998758400000003E-2</v>
      </c>
      <c r="AE9" s="18">
        <f t="shared" si="17"/>
        <v>7.4213899999999999E-3</v>
      </c>
      <c r="AF9" s="18">
        <f t="shared" si="17"/>
        <v>2.4045303600000002E-2</v>
      </c>
      <c r="AG9" s="18">
        <f t="shared" si="17"/>
        <v>5.3619542750000006E-2</v>
      </c>
      <c r="AH9" s="18">
        <f t="shared" si="17"/>
        <v>6.610423592741937E-3</v>
      </c>
      <c r="AI9" s="18">
        <f t="shared" si="17"/>
        <v>1.8998758400000003E-2</v>
      </c>
      <c r="AL9" s="26">
        <f t="shared" si="5"/>
        <v>21.447817100000002</v>
      </c>
      <c r="AM9" s="26">
        <f t="shared" si="2"/>
        <v>17.715043464750003</v>
      </c>
      <c r="AN9" s="26">
        <f t="shared" si="2"/>
        <v>71.839055200000004</v>
      </c>
      <c r="AO9" s="26">
        <f t="shared" si="2"/>
        <v>24.0453036</v>
      </c>
      <c r="AP9" s="26">
        <f t="shared" si="2"/>
        <v>59.371119999999998</v>
      </c>
      <c r="AQ9" s="26">
        <f t="shared" si="2"/>
        <v>37.997516800000007</v>
      </c>
      <c r="AR9" s="26">
        <f t="shared" si="2"/>
        <v>2.0846684509999998</v>
      </c>
      <c r="AS9" s="26">
        <f t="shared" si="2"/>
        <v>18.998758400000003</v>
      </c>
      <c r="AT9" s="26">
        <f t="shared" si="2"/>
        <v>7.4213899999999997</v>
      </c>
      <c r="AU9" s="26">
        <f t="shared" si="2"/>
        <v>24.0453036</v>
      </c>
      <c r="AV9" s="26">
        <f t="shared" si="2"/>
        <v>5.3619542750000004</v>
      </c>
      <c r="AW9" s="26">
        <f t="shared" si="2"/>
        <v>1.6393850510000003</v>
      </c>
      <c r="AX9" s="26">
        <f t="shared" si="2"/>
        <v>37.997516800000007</v>
      </c>
    </row>
    <row r="10" spans="1:50" x14ac:dyDescent="0.2">
      <c r="A10" t="s">
        <v>33</v>
      </c>
      <c r="B10">
        <v>122.7</v>
      </c>
      <c r="C10" s="3">
        <v>30.86</v>
      </c>
      <c r="D10" s="3">
        <v>0.55000000000000004</v>
      </c>
      <c r="E10" s="3">
        <v>285.24299999999999</v>
      </c>
      <c r="H10" s="3">
        <f>H26*0.4*H17*8760/1000000</f>
        <v>226.74963279528001</v>
      </c>
      <c r="I10" s="3">
        <f t="shared" ref="I10:T10" si="18">I26*0.4*I17*8760/1000000</f>
        <v>187.28617377963781</v>
      </c>
      <c r="J10" s="3">
        <f t="shared" si="18"/>
        <v>759.49357974335999</v>
      </c>
      <c r="K10" s="3">
        <f t="shared" si="18"/>
        <v>254.21066098848002</v>
      </c>
      <c r="L10" s="3">
        <f t="shared" si="18"/>
        <v>627.68064441600006</v>
      </c>
      <c r="M10" s="3">
        <f t="shared" si="18"/>
        <v>401.71561242624</v>
      </c>
      <c r="N10" s="3">
        <f t="shared" si="18"/>
        <v>22.039436627056805</v>
      </c>
      <c r="O10" s="3">
        <f t="shared" si="18"/>
        <v>200.85780621312</v>
      </c>
      <c r="P10" s="3">
        <f t="shared" si="18"/>
        <v>78.460080552000008</v>
      </c>
      <c r="Q10" s="3">
        <f t="shared" si="18"/>
        <v>254.21066098848002</v>
      </c>
      <c r="R10" s="3">
        <f t="shared" si="18"/>
        <v>56.687408198820002</v>
      </c>
      <c r="S10" s="3">
        <f t="shared" si="18"/>
        <v>17.331831793936804</v>
      </c>
      <c r="T10" s="3">
        <f t="shared" si="18"/>
        <v>401.71561242624</v>
      </c>
      <c r="W10" s="18">
        <f>H26*0.4*H17/1000000/W16</f>
        <v>8.6282204260000009E-2</v>
      </c>
      <c r="X10" s="18">
        <f>I26*0.4*I17/1000000/X16</f>
        <v>3.5632833671925004E-2</v>
      </c>
      <c r="Y10" s="18">
        <f t="shared" ref="Y10:AI10" si="19">J26*0.4*J17/1000000/Y16</f>
        <v>4.3350090168000004E-2</v>
      </c>
      <c r="Z10" s="18">
        <f t="shared" si="19"/>
        <v>1.9346321231999999E-2</v>
      </c>
      <c r="AA10" s="18">
        <f t="shared" si="19"/>
        <v>3.5826520799999997E-2</v>
      </c>
      <c r="AB10" s="18">
        <f t="shared" si="19"/>
        <v>3.8214955520000003E-2</v>
      </c>
      <c r="AC10" s="18">
        <f t="shared" si="19"/>
        <v>2.2871976574363635E-2</v>
      </c>
      <c r="AD10" s="18">
        <f t="shared" si="19"/>
        <v>2.2928973312000001E-2</v>
      </c>
      <c r="AE10" s="18">
        <f t="shared" si="19"/>
        <v>8.9566301999999993E-3</v>
      </c>
      <c r="AF10" s="18">
        <f t="shared" si="19"/>
        <v>2.9019481848E-2</v>
      </c>
      <c r="AG10" s="18">
        <f t="shared" si="19"/>
        <v>6.4711653194999996E-2</v>
      </c>
      <c r="AH10" s="18">
        <f t="shared" si="19"/>
        <v>7.977901657983873E-3</v>
      </c>
      <c r="AI10" s="18">
        <f t="shared" si="19"/>
        <v>2.2928973312000001E-2</v>
      </c>
      <c r="AL10" s="26">
        <f t="shared" si="5"/>
        <v>25.884661278000003</v>
      </c>
      <c r="AM10" s="26">
        <f t="shared" si="2"/>
        <v>21.379700203155</v>
      </c>
      <c r="AN10" s="26">
        <f t="shared" si="2"/>
        <v>86.700180335999988</v>
      </c>
      <c r="AO10" s="26">
        <f t="shared" si="2"/>
        <v>29.019481848000002</v>
      </c>
      <c r="AP10" s="26">
        <f t="shared" si="2"/>
        <v>71.653041600000009</v>
      </c>
      <c r="AQ10" s="26">
        <f t="shared" si="2"/>
        <v>45.857946624</v>
      </c>
      <c r="AR10" s="26">
        <f t="shared" si="2"/>
        <v>2.5159174231800003</v>
      </c>
      <c r="AS10" s="26">
        <f t="shared" si="2"/>
        <v>22.928973312</v>
      </c>
      <c r="AT10" s="26">
        <f t="shared" si="2"/>
        <v>8.9566302000000011</v>
      </c>
      <c r="AU10" s="26">
        <f t="shared" si="2"/>
        <v>29.019481848000002</v>
      </c>
      <c r="AV10" s="26">
        <f t="shared" si="2"/>
        <v>6.4711653195000007</v>
      </c>
      <c r="AW10" s="26">
        <f t="shared" si="2"/>
        <v>1.9785196111800005</v>
      </c>
      <c r="AX10" s="26">
        <f t="shared" si="2"/>
        <v>45.857946624</v>
      </c>
    </row>
    <row r="11" spans="1:50" x14ac:dyDescent="0.2">
      <c r="A11" t="s">
        <v>34</v>
      </c>
      <c r="B11">
        <v>122.4</v>
      </c>
      <c r="C11" s="3">
        <v>30.08</v>
      </c>
      <c r="D11" s="3">
        <v>0.79</v>
      </c>
      <c r="E11" s="3">
        <v>253.59</v>
      </c>
      <c r="H11" s="3">
        <f>H27*0.4*H17*8760/1000000</f>
        <v>201.58755650640001</v>
      </c>
      <c r="I11" s="3">
        <f t="shared" ref="I11:T11" si="20">I27*0.4*I17*8760/1000000</f>
        <v>166.50330002411403</v>
      </c>
      <c r="J11" s="3">
        <f t="shared" si="20"/>
        <v>675.21368407679995</v>
      </c>
      <c r="K11" s="3">
        <f t="shared" si="20"/>
        <v>226.0012744224</v>
      </c>
      <c r="L11" s="3">
        <f t="shared" si="20"/>
        <v>558.02783808000004</v>
      </c>
      <c r="M11" s="3">
        <f t="shared" si="20"/>
        <v>357.13781637120002</v>
      </c>
      <c r="N11" s="3">
        <f t="shared" si="20"/>
        <v>19.593752464584004</v>
      </c>
      <c r="O11" s="3">
        <f t="shared" si="20"/>
        <v>178.56890818560001</v>
      </c>
      <c r="P11" s="3">
        <f t="shared" si="20"/>
        <v>69.753479760000005</v>
      </c>
      <c r="Q11" s="3">
        <f t="shared" si="20"/>
        <v>226.0012744224</v>
      </c>
      <c r="R11" s="3">
        <f t="shared" si="20"/>
        <v>50.396889126600001</v>
      </c>
      <c r="S11" s="3">
        <f t="shared" si="20"/>
        <v>15.408543678984005</v>
      </c>
      <c r="T11" s="3">
        <f t="shared" si="20"/>
        <v>357.13781637120002</v>
      </c>
      <c r="W11" s="18">
        <f>H27*0.4*H17/1000000/W16</f>
        <v>7.6707593800000015E-2</v>
      </c>
      <c r="X11" s="18">
        <f t="shared" ref="X11:AI11" si="21">I27*0.4*I17/1000000/X16</f>
        <v>3.1678710050250004E-2</v>
      </c>
      <c r="Y11" s="18">
        <f t="shared" si="21"/>
        <v>3.8539593840000004E-2</v>
      </c>
      <c r="Z11" s="18">
        <f t="shared" si="21"/>
        <v>1.7199488160000002E-2</v>
      </c>
      <c r="AA11" s="18">
        <f t="shared" si="21"/>
        <v>3.1850903999999999E-2</v>
      </c>
      <c r="AB11" s="18">
        <f t="shared" si="21"/>
        <v>3.3974297600000002E-2</v>
      </c>
      <c r="AC11" s="18">
        <f t="shared" si="21"/>
        <v>2.0333906667272729E-2</v>
      </c>
      <c r="AD11" s="18">
        <f t="shared" si="21"/>
        <v>2.0384578560000002E-2</v>
      </c>
      <c r="AE11" s="18">
        <f t="shared" si="21"/>
        <v>7.9627259999999998E-3</v>
      </c>
      <c r="AF11" s="18">
        <f t="shared" si="21"/>
        <v>2.5799232240000001E-2</v>
      </c>
      <c r="AG11" s="18">
        <f t="shared" si="21"/>
        <v>5.7530695350000001E-2</v>
      </c>
      <c r="AH11" s="18">
        <f t="shared" si="21"/>
        <v>7.0926055379032281E-3</v>
      </c>
      <c r="AI11" s="18">
        <f t="shared" si="21"/>
        <v>2.0384578560000002E-2</v>
      </c>
      <c r="AL11" s="26">
        <f t="shared" si="5"/>
        <v>23.012278140000003</v>
      </c>
      <c r="AM11" s="26">
        <f t="shared" si="2"/>
        <v>19.007226030150001</v>
      </c>
      <c r="AN11" s="26">
        <f t="shared" si="2"/>
        <v>77.07918767999999</v>
      </c>
      <c r="AO11" s="26">
        <f t="shared" si="2"/>
        <v>25.799232240000002</v>
      </c>
      <c r="AP11" s="26">
        <f t="shared" si="2"/>
        <v>63.701808</v>
      </c>
      <c r="AQ11" s="26">
        <f t="shared" si="2"/>
        <v>40.769157120000003</v>
      </c>
      <c r="AR11" s="26">
        <f t="shared" si="2"/>
        <v>2.2367297334000003</v>
      </c>
      <c r="AS11" s="26">
        <f t="shared" si="2"/>
        <v>20.384578560000001</v>
      </c>
      <c r="AT11" s="26">
        <f t="shared" si="2"/>
        <v>7.962726</v>
      </c>
      <c r="AU11" s="26">
        <f t="shared" si="2"/>
        <v>25.799232240000002</v>
      </c>
      <c r="AV11" s="26">
        <f t="shared" si="2"/>
        <v>5.7530695350000007</v>
      </c>
      <c r="AW11" s="26">
        <f t="shared" si="2"/>
        <v>1.7589661734000006</v>
      </c>
      <c r="AX11" s="26">
        <f t="shared" si="2"/>
        <v>40.769157120000003</v>
      </c>
    </row>
    <row r="12" spans="1:50" x14ac:dyDescent="0.2"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</row>
    <row r="13" spans="1:50" x14ac:dyDescent="0.2"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</row>
    <row r="15" spans="1:50" x14ac:dyDescent="0.2">
      <c r="J15" t="s">
        <v>112</v>
      </c>
      <c r="L15" t="s">
        <v>111</v>
      </c>
      <c r="M15" t="s">
        <v>111</v>
      </c>
      <c r="T15" t="s">
        <v>111</v>
      </c>
    </row>
    <row r="16" spans="1:50" x14ac:dyDescent="0.2">
      <c r="G16" t="s">
        <v>110</v>
      </c>
      <c r="H16">
        <v>17</v>
      </c>
      <c r="I16">
        <v>15.45</v>
      </c>
      <c r="J16">
        <v>22</v>
      </c>
      <c r="K16">
        <v>18</v>
      </c>
      <c r="L16">
        <v>20</v>
      </c>
      <c r="M16">
        <v>16</v>
      </c>
      <c r="N16">
        <v>5.3</v>
      </c>
      <c r="O16">
        <v>16</v>
      </c>
      <c r="P16">
        <v>10</v>
      </c>
      <c r="Q16">
        <v>18</v>
      </c>
      <c r="R16">
        <v>8.5</v>
      </c>
      <c r="S16">
        <v>4.7</v>
      </c>
      <c r="T16">
        <v>16</v>
      </c>
      <c r="V16" t="s">
        <v>80</v>
      </c>
      <c r="W16">
        <v>0.3</v>
      </c>
      <c r="X16">
        <v>0.6</v>
      </c>
      <c r="Y16">
        <v>2</v>
      </c>
      <c r="Z16">
        <v>1.5</v>
      </c>
      <c r="AA16">
        <v>2</v>
      </c>
      <c r="AB16">
        <v>1.2</v>
      </c>
      <c r="AC16">
        <v>0.11</v>
      </c>
      <c r="AD16">
        <v>1</v>
      </c>
      <c r="AE16">
        <v>1</v>
      </c>
      <c r="AF16">
        <v>1</v>
      </c>
      <c r="AG16">
        <v>0.1</v>
      </c>
      <c r="AH16">
        <v>0.248</v>
      </c>
      <c r="AI16">
        <v>2</v>
      </c>
    </row>
    <row r="17" spans="1:20" x14ac:dyDescent="0.2">
      <c r="G17" t="s">
        <v>65</v>
      </c>
      <c r="H17">
        <f>3.14*(H16/2)^2</f>
        <v>226.86500000000001</v>
      </c>
      <c r="I17">
        <f>3.14*(I16/2)^2</f>
        <v>187.3814625</v>
      </c>
      <c r="J17">
        <f>2*3.14*(J16/2)^2</f>
        <v>759.88</v>
      </c>
      <c r="K17">
        <f t="shared" ref="K17:S17" si="22">3.14*(K16/2)^2</f>
        <v>254.34</v>
      </c>
      <c r="L17">
        <f>2*3.14*(L16/2)^2</f>
        <v>628</v>
      </c>
      <c r="M17">
        <f>2*3.14*(M16/2)^2</f>
        <v>401.92</v>
      </c>
      <c r="N17">
        <f t="shared" si="22"/>
        <v>22.050650000000001</v>
      </c>
      <c r="O17">
        <f t="shared" si="22"/>
        <v>200.96</v>
      </c>
      <c r="P17">
        <f t="shared" si="22"/>
        <v>78.5</v>
      </c>
      <c r="Q17">
        <f t="shared" si="22"/>
        <v>254.34</v>
      </c>
      <c r="R17">
        <f t="shared" si="22"/>
        <v>56.716250000000002</v>
      </c>
      <c r="S17">
        <f t="shared" si="22"/>
        <v>17.340650000000004</v>
      </c>
      <c r="T17">
        <f>2*3.14*(T16/2)^2</f>
        <v>401.92</v>
      </c>
    </row>
    <row r="18" spans="1:20" x14ac:dyDescent="0.2">
      <c r="G18" s="16" t="s">
        <v>113</v>
      </c>
      <c r="H18" s="3">
        <v>217.27</v>
      </c>
      <c r="I18" s="3">
        <v>217.27</v>
      </c>
      <c r="J18" s="3">
        <v>217.27</v>
      </c>
      <c r="K18" s="3">
        <v>217.27</v>
      </c>
      <c r="L18" s="3">
        <v>217.27</v>
      </c>
      <c r="M18" s="3">
        <v>217.27</v>
      </c>
      <c r="N18" s="3">
        <v>217.27</v>
      </c>
      <c r="O18" s="3">
        <v>217.27</v>
      </c>
      <c r="P18" s="3">
        <v>217.27</v>
      </c>
      <c r="Q18" s="3">
        <v>217.27</v>
      </c>
      <c r="R18" s="3">
        <v>217.27</v>
      </c>
      <c r="S18" s="3">
        <v>217.27</v>
      </c>
      <c r="T18" s="3">
        <v>217.27</v>
      </c>
    </row>
    <row r="19" spans="1:20" x14ac:dyDescent="0.2">
      <c r="H19" s="3">
        <v>217.88</v>
      </c>
      <c r="I19" s="3">
        <v>217.88</v>
      </c>
      <c r="J19" s="3">
        <v>217.88</v>
      </c>
      <c r="K19" s="3">
        <v>217.88</v>
      </c>
      <c r="L19" s="3">
        <v>217.88</v>
      </c>
      <c r="M19" s="3">
        <v>217.88</v>
      </c>
      <c r="N19" s="3">
        <v>217.88</v>
      </c>
      <c r="O19" s="3">
        <v>217.88</v>
      </c>
      <c r="P19" s="3">
        <v>217.88</v>
      </c>
      <c r="Q19" s="3">
        <v>217.88</v>
      </c>
      <c r="R19" s="3">
        <v>217.88</v>
      </c>
      <c r="S19" s="3">
        <v>217.88</v>
      </c>
      <c r="T19" s="3">
        <v>217.88</v>
      </c>
    </row>
    <row r="20" spans="1:20" x14ac:dyDescent="0.2">
      <c r="H20" s="3">
        <v>268.64999999999998</v>
      </c>
      <c r="I20" s="3">
        <v>268.64999999999998</v>
      </c>
      <c r="J20" s="3">
        <v>268.64999999999998</v>
      </c>
      <c r="K20" s="3">
        <v>268.64999999999998</v>
      </c>
      <c r="L20" s="3">
        <v>268.64999999999998</v>
      </c>
      <c r="M20" s="3">
        <v>268.64999999999998</v>
      </c>
      <c r="N20" s="3">
        <v>268.64999999999998</v>
      </c>
      <c r="O20" s="3">
        <v>268.64999999999998</v>
      </c>
      <c r="P20" s="3">
        <v>268.64999999999998</v>
      </c>
      <c r="Q20" s="3">
        <v>268.64999999999998</v>
      </c>
      <c r="R20" s="3">
        <v>268.64999999999998</v>
      </c>
      <c r="S20" s="3">
        <v>268.64999999999998</v>
      </c>
      <c r="T20" s="3">
        <v>268.64999999999998</v>
      </c>
    </row>
    <row r="21" spans="1:20" x14ac:dyDescent="0.2">
      <c r="H21" s="3">
        <v>273.81</v>
      </c>
      <c r="I21" s="3">
        <v>273.81</v>
      </c>
      <c r="J21" s="3">
        <v>273.81</v>
      </c>
      <c r="K21" s="3">
        <v>273.81</v>
      </c>
      <c r="L21" s="3">
        <v>273.81</v>
      </c>
      <c r="M21" s="3">
        <v>273.81</v>
      </c>
      <c r="N21" s="3">
        <v>273.81</v>
      </c>
      <c r="O21" s="3">
        <v>273.81</v>
      </c>
      <c r="P21" s="3">
        <v>273.81</v>
      </c>
      <c r="Q21" s="3">
        <v>273.81</v>
      </c>
      <c r="R21" s="3">
        <v>273.81</v>
      </c>
      <c r="S21" s="3">
        <v>273.81</v>
      </c>
      <c r="T21" s="3">
        <v>273.81</v>
      </c>
    </row>
    <row r="22" spans="1:20" x14ac:dyDescent="0.2">
      <c r="H22" s="3">
        <v>365.5</v>
      </c>
      <c r="I22" s="3">
        <v>365.5</v>
      </c>
      <c r="J22" s="3">
        <v>365.5</v>
      </c>
      <c r="K22" s="3">
        <v>365.5</v>
      </c>
      <c r="L22" s="3">
        <v>365.5</v>
      </c>
      <c r="M22" s="3">
        <v>365.5</v>
      </c>
      <c r="N22" s="3">
        <v>365.5</v>
      </c>
      <c r="O22" s="3">
        <v>365.5</v>
      </c>
      <c r="P22" s="3">
        <v>365.5</v>
      </c>
      <c r="Q22" s="3">
        <v>365.5</v>
      </c>
      <c r="R22" s="3">
        <v>365.5</v>
      </c>
      <c r="S22" s="3">
        <v>365.5</v>
      </c>
      <c r="T22" s="3">
        <v>365.5</v>
      </c>
    </row>
    <row r="23" spans="1:20" x14ac:dyDescent="0.2">
      <c r="H23" s="3">
        <v>189.63</v>
      </c>
      <c r="I23" s="3">
        <v>189.63</v>
      </c>
      <c r="J23" s="3">
        <v>189.63</v>
      </c>
      <c r="K23" s="3">
        <v>189.63</v>
      </c>
      <c r="L23" s="3">
        <v>189.63</v>
      </c>
      <c r="M23" s="3">
        <v>189.63</v>
      </c>
      <c r="N23" s="3">
        <v>189.63</v>
      </c>
      <c r="O23" s="3">
        <v>189.63</v>
      </c>
      <c r="P23" s="3">
        <v>189.63</v>
      </c>
      <c r="Q23" s="3">
        <v>189.63</v>
      </c>
      <c r="R23" s="3">
        <v>189.63</v>
      </c>
      <c r="S23" s="3">
        <v>189.63</v>
      </c>
      <c r="T23" s="3">
        <v>189.63</v>
      </c>
    </row>
    <row r="24" spans="1:20" x14ac:dyDescent="0.2">
      <c r="H24" s="3">
        <v>303.8</v>
      </c>
      <c r="I24" s="3">
        <v>303.8</v>
      </c>
      <c r="J24" s="3">
        <v>303.8</v>
      </c>
      <c r="K24" s="3">
        <v>303.8</v>
      </c>
      <c r="L24" s="3">
        <v>303.8</v>
      </c>
      <c r="M24" s="3">
        <v>303.8</v>
      </c>
      <c r="N24" s="3">
        <v>303.8</v>
      </c>
      <c r="O24" s="3">
        <v>303.8</v>
      </c>
      <c r="P24" s="3">
        <v>303.8</v>
      </c>
      <c r="Q24" s="3">
        <v>303.8</v>
      </c>
      <c r="R24" s="3">
        <v>303.8</v>
      </c>
      <c r="S24" s="3">
        <v>303.8</v>
      </c>
      <c r="T24" s="3">
        <v>303.8</v>
      </c>
    </row>
    <row r="25" spans="1:20" x14ac:dyDescent="0.2">
      <c r="H25" s="3">
        <v>236.35</v>
      </c>
      <c r="I25" s="3">
        <v>236.35</v>
      </c>
      <c r="J25" s="3">
        <v>236.35</v>
      </c>
      <c r="K25" s="3">
        <v>236.35</v>
      </c>
      <c r="L25" s="3">
        <v>236.35</v>
      </c>
      <c r="M25" s="3">
        <v>236.35</v>
      </c>
      <c r="N25" s="3">
        <v>236.35</v>
      </c>
      <c r="O25" s="3">
        <v>236.35</v>
      </c>
      <c r="P25" s="3">
        <v>236.35</v>
      </c>
      <c r="Q25" s="3">
        <v>236.35</v>
      </c>
      <c r="R25" s="3">
        <v>236.35</v>
      </c>
      <c r="S25" s="3">
        <v>236.35</v>
      </c>
      <c r="T25" s="3">
        <v>236.35</v>
      </c>
    </row>
    <row r="26" spans="1:20" x14ac:dyDescent="0.2">
      <c r="H26" s="3">
        <v>285.24299999999999</v>
      </c>
      <c r="I26" s="3">
        <v>285.24299999999999</v>
      </c>
      <c r="J26" s="3">
        <v>285.24299999999999</v>
      </c>
      <c r="K26" s="3">
        <v>285.24299999999999</v>
      </c>
      <c r="L26" s="3">
        <v>285.24299999999999</v>
      </c>
      <c r="M26" s="3">
        <v>285.24299999999999</v>
      </c>
      <c r="N26" s="3">
        <v>285.24299999999999</v>
      </c>
      <c r="O26" s="3">
        <v>285.24299999999999</v>
      </c>
      <c r="P26" s="3">
        <v>285.24299999999999</v>
      </c>
      <c r="Q26" s="3">
        <v>285.24299999999999</v>
      </c>
      <c r="R26" s="3">
        <v>285.24299999999999</v>
      </c>
      <c r="S26" s="3">
        <v>285.24299999999999</v>
      </c>
      <c r="T26" s="3">
        <v>285.24299999999999</v>
      </c>
    </row>
    <row r="27" spans="1:20" x14ac:dyDescent="0.2">
      <c r="H27" s="3">
        <v>253.59</v>
      </c>
      <c r="I27" s="3">
        <v>253.59</v>
      </c>
      <c r="J27" s="3">
        <v>253.59</v>
      </c>
      <c r="K27" s="3">
        <v>253.59</v>
      </c>
      <c r="L27" s="3">
        <v>253.59</v>
      </c>
      <c r="M27" s="3">
        <v>253.59</v>
      </c>
      <c r="N27" s="3">
        <v>253.59</v>
      </c>
      <c r="O27" s="3">
        <v>253.59</v>
      </c>
      <c r="P27" s="3">
        <v>253.59</v>
      </c>
      <c r="Q27" s="3">
        <v>253.59</v>
      </c>
      <c r="R27" s="3">
        <v>253.59</v>
      </c>
      <c r="S27" s="3">
        <v>253.59</v>
      </c>
      <c r="T27" s="3">
        <v>253.59</v>
      </c>
    </row>
    <row r="31" spans="1:20" x14ac:dyDescent="0.2">
      <c r="G31" t="s">
        <v>127</v>
      </c>
      <c r="H31" s="3">
        <f>H17*0.4</f>
        <v>90.746000000000009</v>
      </c>
      <c r="I31" s="3">
        <f t="shared" ref="I31:T31" si="23">I17*0.4</f>
        <v>74.952584999999999</v>
      </c>
      <c r="J31" s="3">
        <f t="shared" si="23"/>
        <v>303.952</v>
      </c>
      <c r="K31" s="3">
        <f t="shared" si="23"/>
        <v>101.736</v>
      </c>
      <c r="L31" s="3">
        <f t="shared" si="23"/>
        <v>251.20000000000002</v>
      </c>
      <c r="M31" s="3">
        <f t="shared" si="23"/>
        <v>160.76800000000003</v>
      </c>
      <c r="N31" s="3">
        <f>N17*0.4</f>
        <v>8.8202600000000011</v>
      </c>
      <c r="O31" s="3">
        <f t="shared" si="23"/>
        <v>80.384000000000015</v>
      </c>
      <c r="P31" s="3">
        <f t="shared" si="23"/>
        <v>31.400000000000002</v>
      </c>
      <c r="Q31" s="3">
        <f t="shared" si="23"/>
        <v>101.736</v>
      </c>
      <c r="R31" s="3">
        <f t="shared" si="23"/>
        <v>22.686500000000002</v>
      </c>
      <c r="S31" s="3">
        <f t="shared" si="23"/>
        <v>6.9362600000000016</v>
      </c>
      <c r="T31" s="3">
        <f t="shared" si="23"/>
        <v>160.76800000000003</v>
      </c>
    </row>
    <row r="32" spans="1:20" x14ac:dyDescent="0.2">
      <c r="A32" s="15" t="s">
        <v>0</v>
      </c>
      <c r="B32" t="s">
        <v>128</v>
      </c>
      <c r="G32" t="s">
        <v>117</v>
      </c>
      <c r="H32">
        <v>1.0149999999999999</v>
      </c>
    </row>
    <row r="33" spans="1:8" x14ac:dyDescent="0.2">
      <c r="A33" t="s">
        <v>25</v>
      </c>
      <c r="B33" s="22">
        <v>1.0149999999999999</v>
      </c>
      <c r="G33" t="s">
        <v>118</v>
      </c>
      <c r="H33">
        <v>1.075</v>
      </c>
    </row>
    <row r="34" spans="1:8" x14ac:dyDescent="0.2">
      <c r="A34" t="s">
        <v>26</v>
      </c>
      <c r="B34" s="22">
        <v>1.075</v>
      </c>
      <c r="G34" t="s">
        <v>119</v>
      </c>
      <c r="H34">
        <v>1.1146</v>
      </c>
    </row>
    <row r="35" spans="1:8" x14ac:dyDescent="0.2">
      <c r="A35" t="s">
        <v>27</v>
      </c>
      <c r="B35" s="22">
        <v>1.1146</v>
      </c>
      <c r="G35" t="s">
        <v>120</v>
      </c>
      <c r="H35">
        <v>1.175</v>
      </c>
    </row>
    <row r="36" spans="1:8" x14ac:dyDescent="0.2">
      <c r="A36" t="s">
        <v>28</v>
      </c>
      <c r="B36" s="22">
        <v>1.175</v>
      </c>
      <c r="G36" t="s">
        <v>121</v>
      </c>
      <c r="H36">
        <v>1.347</v>
      </c>
    </row>
    <row r="37" spans="1:8" x14ac:dyDescent="0.2">
      <c r="A37" t="s">
        <v>29</v>
      </c>
      <c r="B37" s="22">
        <v>1.347</v>
      </c>
      <c r="G37" t="s">
        <v>122</v>
      </c>
      <c r="H37">
        <v>1.2410000000000001</v>
      </c>
    </row>
    <row r="38" spans="1:8" x14ac:dyDescent="0.2">
      <c r="A38" t="s">
        <v>30</v>
      </c>
      <c r="B38" s="22">
        <v>1.2410000000000001</v>
      </c>
      <c r="G38" t="s">
        <v>123</v>
      </c>
      <c r="H38">
        <v>1.3080000000000001</v>
      </c>
    </row>
    <row r="39" spans="1:8" x14ac:dyDescent="0.2">
      <c r="A39" t="s">
        <v>31</v>
      </c>
      <c r="B39" s="22">
        <v>1.3080000000000001</v>
      </c>
      <c r="G39" t="s">
        <v>124</v>
      </c>
      <c r="H39">
        <v>1.2946</v>
      </c>
    </row>
    <row r="40" spans="1:8" x14ac:dyDescent="0.2">
      <c r="A40" t="s">
        <v>32</v>
      </c>
      <c r="B40" s="22">
        <v>1.2946</v>
      </c>
      <c r="G40" t="s">
        <v>125</v>
      </c>
      <c r="H40">
        <v>1.2</v>
      </c>
    </row>
    <row r="41" spans="1:8" x14ac:dyDescent="0.2">
      <c r="A41" t="s">
        <v>33</v>
      </c>
      <c r="B41" s="22">
        <v>1.2</v>
      </c>
      <c r="G41" t="s">
        <v>126</v>
      </c>
      <c r="H41">
        <v>1.45</v>
      </c>
    </row>
    <row r="42" spans="1:8" x14ac:dyDescent="0.2">
      <c r="A42" t="s">
        <v>34</v>
      </c>
      <c r="B42" s="22">
        <v>1.45</v>
      </c>
    </row>
  </sheetData>
  <sortState ref="A2:E10">
    <sortCondition ref="A2:A10"/>
  </sortState>
  <phoneticPr fontId="1" type="noConversion"/>
  <pageMargins left="0.7" right="0.7" top="0.75" bottom="0.75" header="0.3" footer="0.3"/>
  <pageSetup paperSize="9" orientation="portrait" r:id="rId1"/>
  <ignoredErrors>
    <ignoredError sqref="J17:K17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1"/>
  <sheetViews>
    <sheetView topLeftCell="AZ13" zoomScaleNormal="100" workbookViewId="0">
      <selection activeCell="BS42" sqref="BS42"/>
    </sheetView>
  </sheetViews>
  <sheetFormatPr defaultRowHeight="14.25" x14ac:dyDescent="0.2"/>
  <cols>
    <col min="4" max="4" width="13.375" customWidth="1"/>
    <col min="5" max="14" width="15.25" customWidth="1"/>
    <col min="16" max="16" width="12.875" customWidth="1"/>
    <col min="20" max="20" width="11.125" customWidth="1"/>
    <col min="21" max="22" width="11.375" customWidth="1"/>
    <col min="23" max="23" width="14.375" customWidth="1"/>
    <col min="44" max="44" width="12.75" bestFit="1" customWidth="1"/>
    <col min="46" max="47" width="12.75" bestFit="1" customWidth="1"/>
    <col min="50" max="50" width="12.75" bestFit="1" customWidth="1"/>
    <col min="61" max="61" width="15.25" customWidth="1"/>
    <col min="73" max="73" width="22.125" customWidth="1"/>
  </cols>
  <sheetData>
    <row r="1" spans="1:83" ht="32.25" thickBot="1" x14ac:dyDescent="0.35">
      <c r="A1" s="1" t="s">
        <v>0</v>
      </c>
      <c r="B1" s="1" t="s">
        <v>1</v>
      </c>
      <c r="C1" s="1" t="s">
        <v>2</v>
      </c>
      <c r="D1" s="1" t="s">
        <v>48</v>
      </c>
      <c r="E1" s="1" t="s">
        <v>52</v>
      </c>
      <c r="F1" s="1" t="s">
        <v>210</v>
      </c>
      <c r="G1" s="1" t="s">
        <v>211</v>
      </c>
      <c r="H1" s="1" t="s">
        <v>225</v>
      </c>
      <c r="I1" s="1" t="s">
        <v>219</v>
      </c>
      <c r="J1" s="1" t="s">
        <v>212</v>
      </c>
      <c r="K1" s="1" t="s">
        <v>213</v>
      </c>
      <c r="L1" s="1" t="s">
        <v>214</v>
      </c>
      <c r="M1" s="1" t="s">
        <v>226</v>
      </c>
      <c r="N1" s="1" t="s">
        <v>228</v>
      </c>
      <c r="O1" s="1" t="s">
        <v>221</v>
      </c>
      <c r="P1" s="1" t="s">
        <v>135</v>
      </c>
      <c r="Q1" s="23" t="s">
        <v>129</v>
      </c>
      <c r="R1" s="23" t="s">
        <v>130</v>
      </c>
      <c r="S1" s="24" t="s">
        <v>138</v>
      </c>
      <c r="T1" s="53" t="s">
        <v>206</v>
      </c>
      <c r="U1" s="53" t="s">
        <v>207</v>
      </c>
      <c r="V1" s="53" t="s">
        <v>208</v>
      </c>
      <c r="W1" s="53" t="s">
        <v>209</v>
      </c>
      <c r="X1" s="24" t="s">
        <v>137</v>
      </c>
      <c r="Y1" s="24" t="s">
        <v>131</v>
      </c>
      <c r="Z1" s="25" t="s">
        <v>132</v>
      </c>
      <c r="AB1" s="24" t="s">
        <v>136</v>
      </c>
      <c r="AC1" s="23" t="s">
        <v>129</v>
      </c>
      <c r="AD1" s="23" t="s">
        <v>130</v>
      </c>
      <c r="AE1" s="24" t="s">
        <v>138</v>
      </c>
      <c r="AF1" s="53" t="s">
        <v>206</v>
      </c>
      <c r="AG1" s="53" t="s">
        <v>207</v>
      </c>
      <c r="AH1" s="53" t="s">
        <v>208</v>
      </c>
      <c r="AI1" s="53" t="s">
        <v>209</v>
      </c>
      <c r="AJ1" s="24" t="s">
        <v>137</v>
      </c>
      <c r="AK1" s="24" t="s">
        <v>131</v>
      </c>
      <c r="AL1" s="25" t="s">
        <v>132</v>
      </c>
      <c r="AP1" s="24"/>
      <c r="AQ1" s="24"/>
      <c r="AR1" t="s">
        <v>241</v>
      </c>
      <c r="AU1" t="s">
        <v>242</v>
      </c>
      <c r="AX1" t="s">
        <v>243</v>
      </c>
      <c r="AZ1" t="s">
        <v>240</v>
      </c>
      <c r="BC1" t="s">
        <v>248</v>
      </c>
      <c r="BD1" t="s">
        <v>241</v>
      </c>
      <c r="BE1" t="s">
        <v>246</v>
      </c>
      <c r="BF1" t="s">
        <v>247</v>
      </c>
      <c r="BG1" t="s">
        <v>249</v>
      </c>
      <c r="BI1" s="1" t="s">
        <v>140</v>
      </c>
      <c r="BJ1" s="23" t="s">
        <v>129</v>
      </c>
      <c r="BK1" s="23" t="s">
        <v>130</v>
      </c>
      <c r="BL1" s="24" t="s">
        <v>138</v>
      </c>
      <c r="BM1" s="53" t="s">
        <v>203</v>
      </c>
      <c r="BN1" s="53" t="s">
        <v>204</v>
      </c>
      <c r="BO1" s="53" t="s">
        <v>205</v>
      </c>
      <c r="BP1" s="53" t="s">
        <v>203</v>
      </c>
      <c r="BQ1" s="24" t="s">
        <v>137</v>
      </c>
      <c r="BR1" s="24" t="s">
        <v>131</v>
      </c>
      <c r="BS1" s="25" t="s">
        <v>132</v>
      </c>
      <c r="BU1" s="1" t="s">
        <v>141</v>
      </c>
      <c r="BV1" s="23" t="s">
        <v>129</v>
      </c>
      <c r="BW1" s="23" t="s">
        <v>130</v>
      </c>
      <c r="BX1" s="24" t="s">
        <v>138</v>
      </c>
      <c r="BY1" s="53" t="s">
        <v>203</v>
      </c>
      <c r="BZ1" s="53" t="s">
        <v>204</v>
      </c>
      <c r="CA1" s="53" t="s">
        <v>205</v>
      </c>
      <c r="CB1" s="53" t="s">
        <v>203</v>
      </c>
      <c r="CC1" s="24" t="s">
        <v>137</v>
      </c>
      <c r="CD1" s="24" t="s">
        <v>131</v>
      </c>
      <c r="CE1" s="25" t="s">
        <v>132</v>
      </c>
    </row>
    <row r="2" spans="1:83" ht="15" thickTop="1" x14ac:dyDescent="0.2">
      <c r="A2" t="s">
        <v>37</v>
      </c>
      <c r="B2">
        <v>122.2</v>
      </c>
      <c r="C2">
        <v>30.7</v>
      </c>
      <c r="D2">
        <v>606835</v>
      </c>
      <c r="E2" s="3">
        <v>168.56527777777777</v>
      </c>
      <c r="F2" s="3">
        <v>5.31</v>
      </c>
      <c r="G2" s="3">
        <v>0.62</v>
      </c>
      <c r="H2" s="3">
        <v>13.01</v>
      </c>
      <c r="I2" s="3">
        <v>17.82</v>
      </c>
      <c r="J2" s="3">
        <v>6.49</v>
      </c>
      <c r="K2" s="3">
        <v>1.27</v>
      </c>
      <c r="L2" s="3">
        <v>171.68</v>
      </c>
      <c r="M2" s="3">
        <v>26.89</v>
      </c>
      <c r="N2" s="3">
        <v>23.98</v>
      </c>
      <c r="O2" s="55">
        <v>0.99840127931760636</v>
      </c>
      <c r="P2" t="s">
        <v>37</v>
      </c>
      <c r="Q2" s="26">
        <f t="shared" ref="Q2:Q11" si="0">D2*0.146*1.606*8760/3600/1000</f>
        <v>346.23472575266663</v>
      </c>
      <c r="R2" s="26">
        <f t="shared" ref="R2:R11" si="1">D2*0.149*1.582*8760/3600/1000</f>
        <v>348.06870248966669</v>
      </c>
      <c r="S2" s="26">
        <f t="shared" ref="S2:S11" si="2">D2*0.062*1.575*8760/3600/1000</f>
        <v>144.19309852499998</v>
      </c>
      <c r="T2" s="26">
        <f t="shared" ref="T2:T11" si="3">D2*0.213*2.58*8760/3600/1000</f>
        <v>811.46825768999997</v>
      </c>
      <c r="U2" s="26">
        <f t="shared" ref="U2:U11" si="4">D2*0.216*2.59*8760/3600/1000</f>
        <v>826.08691283999985</v>
      </c>
      <c r="V2" s="26">
        <f t="shared" ref="V2:V11" si="5">D2*0.212*3.1*8760/3600/1000</f>
        <v>970.44244086666663</v>
      </c>
      <c r="W2" s="26">
        <f t="shared" ref="W2:W11" si="6">D2*0.222*3.1*8760/3600/1000</f>
        <v>1016.2180277000001</v>
      </c>
      <c r="X2" s="26">
        <f t="shared" ref="X2:X11" si="7">D2*0.212*1.634*8760/3600/1000</f>
        <v>511.51708012133327</v>
      </c>
      <c r="Y2" s="26">
        <f t="shared" ref="Y2:Y11" si="8">D2*0.164*1.386*8760/3600/1000</f>
        <v>335.64432224399997</v>
      </c>
      <c r="Z2" s="26">
        <f t="shared" ref="Z2:Z11" si="9">D2*0.181*1.604*8760/3600/1000</f>
        <v>428.70166038066668</v>
      </c>
      <c r="AB2" t="s">
        <v>37</v>
      </c>
      <c r="AC2" s="22">
        <f>Q2*1000/8760/Q15</f>
        <v>0.16818941307328605</v>
      </c>
      <c r="AD2" s="22">
        <f t="shared" ref="AD2:AL2" si="10">R2*1000/8760/R15</f>
        <v>0.16555779228009262</v>
      </c>
      <c r="AE2" s="22">
        <f t="shared" si="10"/>
        <v>0.16460399374999998</v>
      </c>
      <c r="AF2" s="22">
        <f>T2*1000/8760/T15</f>
        <v>0.16842429590909092</v>
      </c>
      <c r="AG2" s="22">
        <f t="shared" si="10"/>
        <v>0.1625899293103448</v>
      </c>
      <c r="AH2" s="22">
        <f t="shared" si="10"/>
        <v>0.16785015235690234</v>
      </c>
      <c r="AI2" s="22">
        <f>W2*1000/8760/W15</f>
        <v>0.16812554227053142</v>
      </c>
      <c r="AJ2" s="22">
        <f t="shared" si="10"/>
        <v>0.16925321954911429</v>
      </c>
      <c r="AK2" s="22">
        <f t="shared" si="10"/>
        <v>0.15025710549019608</v>
      </c>
      <c r="AL2" s="22">
        <f t="shared" si="10"/>
        <v>0.19575418282222221</v>
      </c>
      <c r="AP2" s="56"/>
      <c r="AQ2" t="s">
        <v>37</v>
      </c>
      <c r="AR2">
        <f>AL21*AN21*AP21*AV21/AY21</f>
        <v>2.6509319259805002</v>
      </c>
      <c r="AT2" t="s">
        <v>37</v>
      </c>
      <c r="AU2">
        <f>AL21*AN21*AP21*AR21*AV21/AY21</f>
        <v>5.4791360099627706</v>
      </c>
      <c r="AW2" t="s">
        <v>37</v>
      </c>
      <c r="AX2">
        <f>AL21*AN21*AP21*AT21*AV21/AY21</f>
        <v>3.5673034559490682</v>
      </c>
      <c r="AZ2" t="s">
        <v>37</v>
      </c>
      <c r="BA2">
        <f>AL21*AN21*AP21*AR21*AT21*AV21/AY21</f>
        <v>7.3731583343943452</v>
      </c>
      <c r="BC2" t="s">
        <v>244</v>
      </c>
      <c r="BD2">
        <v>2.6509319259805002</v>
      </c>
      <c r="BE2">
        <v>5.4791360099627706</v>
      </c>
      <c r="BF2">
        <v>3.5673034559490682</v>
      </c>
      <c r="BG2">
        <v>7.3731583343943452</v>
      </c>
      <c r="BJ2" s="28">
        <f t="shared" ref="BJ2:BS6" si="11">Q2/8760</f>
        <v>3.9524512072222219E-2</v>
      </c>
      <c r="BK2" s="28">
        <f t="shared" si="11"/>
        <v>3.9733870147222225E-2</v>
      </c>
      <c r="BL2" s="28">
        <f t="shared" si="11"/>
        <v>1.6460399374999997E-2</v>
      </c>
      <c r="BM2" s="28">
        <f t="shared" si="11"/>
        <v>9.2633362750000003E-2</v>
      </c>
      <c r="BN2" s="28">
        <f t="shared" si="11"/>
        <v>9.4302158999999983E-2</v>
      </c>
      <c r="BO2" s="28">
        <f t="shared" si="11"/>
        <v>0.11078110055555555</v>
      </c>
      <c r="BP2" s="28">
        <f t="shared" si="11"/>
        <v>0.11600662416666668</v>
      </c>
      <c r="BQ2" s="28">
        <f t="shared" si="11"/>
        <v>5.8392360744444434E-2</v>
      </c>
      <c r="BR2" s="28">
        <f t="shared" si="11"/>
        <v>3.8315561899999996E-2</v>
      </c>
      <c r="BS2" s="28">
        <f t="shared" si="11"/>
        <v>4.8938545705555558E-2</v>
      </c>
      <c r="BV2" s="3">
        <f>BJ2*100</f>
        <v>3.952451207222222</v>
      </c>
      <c r="BW2" s="3">
        <f t="shared" ref="BW2:CE11" si="12">BK2*100</f>
        <v>3.9733870147222223</v>
      </c>
      <c r="BX2" s="3">
        <f t="shared" si="12"/>
        <v>1.6460399374999997</v>
      </c>
      <c r="BY2" s="3">
        <f t="shared" si="12"/>
        <v>9.2633362750000003</v>
      </c>
      <c r="BZ2" s="3">
        <f t="shared" si="12"/>
        <v>9.4302158999999985</v>
      </c>
      <c r="CA2" s="3">
        <f t="shared" si="12"/>
        <v>11.078110055555555</v>
      </c>
      <c r="CB2" s="30">
        <f t="shared" si="12"/>
        <v>11.600662416666669</v>
      </c>
      <c r="CC2" s="3">
        <f t="shared" si="12"/>
        <v>5.8392360744444431</v>
      </c>
      <c r="CD2" s="3">
        <f t="shared" si="12"/>
        <v>3.8315561899999997</v>
      </c>
      <c r="CE2" s="3">
        <f t="shared" si="12"/>
        <v>4.8938545705555558</v>
      </c>
    </row>
    <row r="3" spans="1:83" x14ac:dyDescent="0.2">
      <c r="A3" t="s">
        <v>38</v>
      </c>
      <c r="B3">
        <v>122.3</v>
      </c>
      <c r="C3">
        <v>30.7</v>
      </c>
      <c r="D3">
        <v>609909</v>
      </c>
      <c r="E3" s="3">
        <v>169.41916666666665</v>
      </c>
      <c r="F3" s="3">
        <v>5.87</v>
      </c>
      <c r="G3" s="3">
        <v>0.65</v>
      </c>
      <c r="H3" s="3">
        <v>21.04</v>
      </c>
      <c r="I3" s="3">
        <v>19.48</v>
      </c>
      <c r="J3" s="3"/>
      <c r="K3" s="3"/>
      <c r="L3" s="3"/>
      <c r="N3" s="3"/>
      <c r="O3" s="55">
        <v>0.99740337707256976</v>
      </c>
      <c r="P3" t="s">
        <v>38</v>
      </c>
      <c r="Q3" s="26">
        <f t="shared" si="0"/>
        <v>347.98862186439999</v>
      </c>
      <c r="R3" s="26">
        <f t="shared" si="1"/>
        <v>349.83188884420002</v>
      </c>
      <c r="S3" s="26">
        <f t="shared" si="2"/>
        <v>144.92352703500001</v>
      </c>
      <c r="T3" s="26">
        <f t="shared" si="3"/>
        <v>815.5788535260001</v>
      </c>
      <c r="U3" s="26">
        <f t="shared" si="4"/>
        <v>830.2715613360001</v>
      </c>
      <c r="V3" s="26">
        <f t="shared" si="5"/>
        <v>975.35834067999997</v>
      </c>
      <c r="W3" s="26">
        <f t="shared" si="6"/>
        <v>1021.3658095800001</v>
      </c>
      <c r="X3" s="26">
        <f t="shared" si="7"/>
        <v>514.10823505519988</v>
      </c>
      <c r="Y3" s="26">
        <f t="shared" si="8"/>
        <v>337.34457131760001</v>
      </c>
      <c r="Z3" s="26">
        <f t="shared" si="9"/>
        <v>430.87330325559998</v>
      </c>
      <c r="AB3" t="s">
        <v>38</v>
      </c>
      <c r="AC3" s="22">
        <f>Q3*1000/8760/Q15</f>
        <v>0.1690413979716312</v>
      </c>
      <c r="AD3" s="22">
        <f t="shared" ref="AD3:AL3" si="13">R3*1000/8760/R15</f>
        <v>0.16639644636805556</v>
      </c>
      <c r="AE3" s="22">
        <f t="shared" si="13"/>
        <v>0.16543781625000001</v>
      </c>
      <c r="AF3" s="22">
        <f t="shared" si="13"/>
        <v>0.16927747063636364</v>
      </c>
      <c r="AG3" s="22">
        <f t="shared" si="13"/>
        <v>0.16341354931034485</v>
      </c>
      <c r="AH3" s="22">
        <f t="shared" si="13"/>
        <v>0.16870041868686869</v>
      </c>
      <c r="AI3" s="22">
        <f t="shared" si="13"/>
        <v>0.16897720362318841</v>
      </c>
      <c r="AJ3" s="22">
        <f t="shared" si="13"/>
        <v>0.17011059329468597</v>
      </c>
      <c r="AK3" s="22">
        <f t="shared" si="13"/>
        <v>0.15101825200000002</v>
      </c>
      <c r="AL3" s="22">
        <f t="shared" si="13"/>
        <v>0.19674580057333332</v>
      </c>
      <c r="AP3" s="56"/>
      <c r="AQ3" t="s">
        <v>38</v>
      </c>
      <c r="AR3">
        <f t="shared" ref="AR3:AR11" si="14">AL22*AN22*AP22*AV22/AY22</f>
        <v>2.2638755386013578</v>
      </c>
      <c r="AT3" t="s">
        <v>38</v>
      </c>
      <c r="AU3">
        <f t="shared" ref="AU3:AU11" si="15">AL22*AN22*AP22*AR22*AV22/AY22</f>
        <v>2.8933276251421343</v>
      </c>
      <c r="AW3" t="s">
        <v>38</v>
      </c>
      <c r="AX3">
        <f t="shared" ref="AX3:AX11" si="16">AL22*AN22*AP22*AT22*AV22/AY22</f>
        <v>2.7868447338634783</v>
      </c>
      <c r="AZ3" t="s">
        <v>38</v>
      </c>
      <c r="BA3">
        <f t="shared" ref="BA3:BA11" si="17">AL22*AN22*AP22*AR22*AT22*AV22/AY22</f>
        <v>3.5617041299234287</v>
      </c>
      <c r="BC3" t="s">
        <v>245</v>
      </c>
      <c r="BD3">
        <v>2.2638755386013578</v>
      </c>
      <c r="BE3">
        <v>2.8933276251421343</v>
      </c>
      <c r="BF3">
        <v>2.7868447338634783</v>
      </c>
      <c r="BG3">
        <v>3.5617041299234287</v>
      </c>
      <c r="BJ3" s="28">
        <f t="shared" si="11"/>
        <v>3.9724728523333329E-2</v>
      </c>
      <c r="BK3" s="28">
        <f t="shared" si="11"/>
        <v>3.9935147128333334E-2</v>
      </c>
      <c r="BL3" s="28">
        <f t="shared" si="11"/>
        <v>1.6543781625E-2</v>
      </c>
      <c r="BM3" s="28">
        <f t="shared" si="11"/>
        <v>9.3102608850000018E-2</v>
      </c>
      <c r="BN3" s="28">
        <f t="shared" si="11"/>
        <v>9.4779858600000016E-2</v>
      </c>
      <c r="BO3" s="28">
        <f t="shared" si="11"/>
        <v>0.11134227633333332</v>
      </c>
      <c r="BP3" s="28">
        <f t="shared" si="11"/>
        <v>0.11659427050000001</v>
      </c>
      <c r="BQ3" s="28">
        <f t="shared" si="11"/>
        <v>5.8688154686666653E-2</v>
      </c>
      <c r="BR3" s="28">
        <f t="shared" si="11"/>
        <v>3.8509654260000005E-2</v>
      </c>
      <c r="BS3" s="28">
        <f t="shared" si="11"/>
        <v>4.9186450143333331E-2</v>
      </c>
      <c r="BV3" s="3">
        <f t="shared" ref="BV3:BV11" si="18">BJ3*100</f>
        <v>3.972472852333333</v>
      </c>
      <c r="BW3" s="3">
        <f t="shared" si="12"/>
        <v>3.9935147128333335</v>
      </c>
      <c r="BX3" s="3">
        <f t="shared" si="12"/>
        <v>1.6543781625</v>
      </c>
      <c r="BY3" s="3">
        <f t="shared" si="12"/>
        <v>9.3102608850000017</v>
      </c>
      <c r="BZ3" s="3">
        <f t="shared" si="12"/>
        <v>9.4779858600000022</v>
      </c>
      <c r="CA3" s="3">
        <f t="shared" si="12"/>
        <v>11.134227633333332</v>
      </c>
      <c r="CB3" s="3">
        <f t="shared" si="12"/>
        <v>11.659427050000001</v>
      </c>
      <c r="CC3" s="3">
        <f t="shared" si="12"/>
        <v>5.8688154686666651</v>
      </c>
      <c r="CD3" s="3">
        <f t="shared" si="12"/>
        <v>3.8509654260000006</v>
      </c>
      <c r="CE3" s="3">
        <f t="shared" si="12"/>
        <v>4.9186450143333333</v>
      </c>
    </row>
    <row r="4" spans="1:83" x14ac:dyDescent="0.2">
      <c r="A4" t="s">
        <v>39</v>
      </c>
      <c r="B4">
        <v>122.5</v>
      </c>
      <c r="C4">
        <v>30.84</v>
      </c>
      <c r="D4">
        <v>611450</v>
      </c>
      <c r="E4" s="3">
        <v>169.84722222222223</v>
      </c>
      <c r="F4" s="3">
        <v>5.7</v>
      </c>
      <c r="G4" s="3">
        <v>0.85</v>
      </c>
      <c r="H4" s="3">
        <v>23.45</v>
      </c>
      <c r="I4" s="3">
        <v>16.309999999999999</v>
      </c>
      <c r="J4" s="3"/>
      <c r="K4" s="3"/>
      <c r="L4" s="3"/>
      <c r="N4" s="3"/>
      <c r="O4" s="55">
        <v>0.99531102771647961</v>
      </c>
      <c r="P4" t="s">
        <v>39</v>
      </c>
      <c r="Q4" s="26">
        <f t="shared" si="0"/>
        <v>348.86785215333339</v>
      </c>
      <c r="R4" s="26">
        <f t="shared" si="1"/>
        <v>350.7157763433334</v>
      </c>
      <c r="S4" s="26">
        <f t="shared" si="2"/>
        <v>145.28969175</v>
      </c>
      <c r="T4" s="26">
        <f t="shared" si="3"/>
        <v>817.63950030000001</v>
      </c>
      <c r="U4" s="26">
        <f t="shared" si="4"/>
        <v>832.36933079999994</v>
      </c>
      <c r="V4" s="26">
        <f t="shared" si="5"/>
        <v>977.82268733333331</v>
      </c>
      <c r="W4" s="26">
        <f t="shared" si="6"/>
        <v>1023.9463989999999</v>
      </c>
      <c r="X4" s="26">
        <f t="shared" si="7"/>
        <v>515.40718422666669</v>
      </c>
      <c r="Y4" s="26">
        <f t="shared" si="8"/>
        <v>338.19690828000006</v>
      </c>
      <c r="Z4" s="26">
        <f t="shared" si="9"/>
        <v>431.96195051333336</v>
      </c>
      <c r="AB4" t="s">
        <v>39</v>
      </c>
      <c r="AC4" s="22">
        <f>Q4*1000/8760/Q15</f>
        <v>0.16946849905437353</v>
      </c>
      <c r="AD4" s="22">
        <f t="shared" ref="AD4:AL4" si="19">R4*1000/8760/R15</f>
        <v>0.16681686469907411</v>
      </c>
      <c r="AE4" s="22">
        <f t="shared" si="19"/>
        <v>0.1658558125</v>
      </c>
      <c r="AF4" s="22">
        <f t="shared" si="19"/>
        <v>0.16970516818181816</v>
      </c>
      <c r="AG4" s="22">
        <f t="shared" si="19"/>
        <v>0.16382643103448274</v>
      </c>
      <c r="AH4" s="22">
        <f t="shared" si="19"/>
        <v>0.16912665824915823</v>
      </c>
      <c r="AI4" s="22">
        <f t="shared" si="19"/>
        <v>0.1694041425120773</v>
      </c>
      <c r="AJ4" s="22">
        <f t="shared" si="19"/>
        <v>0.17054039581320452</v>
      </c>
      <c r="AK4" s="22">
        <f t="shared" si="19"/>
        <v>0.15139981568627453</v>
      </c>
      <c r="AL4" s="22">
        <f t="shared" si="19"/>
        <v>0.19724289977777781</v>
      </c>
      <c r="AP4" s="56"/>
      <c r="AQ4" t="s">
        <v>39</v>
      </c>
      <c r="AR4">
        <f t="shared" si="14"/>
        <v>1.7703912421451224</v>
      </c>
      <c r="AT4" t="s">
        <v>39</v>
      </c>
      <c r="AU4">
        <f t="shared" si="15"/>
        <v>2.0300989552785649</v>
      </c>
      <c r="AW4" t="s">
        <v>39</v>
      </c>
      <c r="AX4">
        <f t="shared" si="16"/>
        <v>2.6029418753304747</v>
      </c>
      <c r="AZ4" t="s">
        <v>39</v>
      </c>
      <c r="BA4">
        <f t="shared" si="17"/>
        <v>2.9847806834812989</v>
      </c>
      <c r="BC4" t="s">
        <v>39</v>
      </c>
      <c r="BD4">
        <v>1.7703912421451224</v>
      </c>
      <c r="BE4">
        <v>2.0300989552785649</v>
      </c>
      <c r="BF4">
        <v>2.6029418753304747</v>
      </c>
      <c r="BG4">
        <v>2.9847806834812989</v>
      </c>
      <c r="BJ4" s="28">
        <f t="shared" si="11"/>
        <v>3.9825097277777784E-2</v>
      </c>
      <c r="BK4" s="28">
        <f t="shared" si="11"/>
        <v>4.0036047527777785E-2</v>
      </c>
      <c r="BL4" s="28">
        <f t="shared" si="11"/>
        <v>1.6585581250000002E-2</v>
      </c>
      <c r="BM4" s="28">
        <f t="shared" si="11"/>
        <v>9.3337842500000004E-2</v>
      </c>
      <c r="BN4" s="28">
        <f t="shared" si="11"/>
        <v>9.5019329999999999E-2</v>
      </c>
      <c r="BO4" s="28">
        <f t="shared" si="11"/>
        <v>0.11162359444444445</v>
      </c>
      <c r="BP4" s="28">
        <f t="shared" si="11"/>
        <v>0.11688885833333333</v>
      </c>
      <c r="BQ4" s="28">
        <f t="shared" si="11"/>
        <v>5.8836436555555559E-2</v>
      </c>
      <c r="BR4" s="28">
        <f t="shared" si="11"/>
        <v>3.8606953000000006E-2</v>
      </c>
      <c r="BS4" s="28">
        <f t="shared" si="11"/>
        <v>4.9310724944444446E-2</v>
      </c>
      <c r="BV4" s="3">
        <f t="shared" si="18"/>
        <v>3.9825097277777783</v>
      </c>
      <c r="BW4" s="3">
        <f t="shared" si="12"/>
        <v>4.0036047527777789</v>
      </c>
      <c r="BX4" s="3">
        <f t="shared" si="12"/>
        <v>1.6585581250000001</v>
      </c>
      <c r="BY4" s="3">
        <f t="shared" si="12"/>
        <v>9.3337842500000008</v>
      </c>
      <c r="BZ4" s="3">
        <f t="shared" si="12"/>
        <v>9.5019329999999993</v>
      </c>
      <c r="CA4" s="3">
        <f t="shared" si="12"/>
        <v>11.162359444444444</v>
      </c>
      <c r="CB4" s="3">
        <f t="shared" si="12"/>
        <v>11.688885833333334</v>
      </c>
      <c r="CC4" s="3">
        <f t="shared" si="12"/>
        <v>5.8836436555555558</v>
      </c>
      <c r="CD4" s="3">
        <f t="shared" si="12"/>
        <v>3.8606953000000006</v>
      </c>
      <c r="CE4" s="3">
        <f t="shared" si="12"/>
        <v>4.9310724944444448</v>
      </c>
    </row>
    <row r="5" spans="1:83" x14ac:dyDescent="0.2">
      <c r="A5" t="s">
        <v>40</v>
      </c>
      <c r="B5">
        <v>122.7</v>
      </c>
      <c r="C5">
        <v>30.76</v>
      </c>
      <c r="D5">
        <v>613026</v>
      </c>
      <c r="E5" s="3">
        <v>170.285</v>
      </c>
      <c r="F5" s="3">
        <v>6.49</v>
      </c>
      <c r="G5" s="3">
        <v>1</v>
      </c>
      <c r="H5" s="3">
        <v>26.89</v>
      </c>
      <c r="I5" s="3">
        <v>18.87</v>
      </c>
      <c r="J5" s="3"/>
      <c r="K5" s="3"/>
      <c r="L5" s="3"/>
      <c r="N5" s="3"/>
      <c r="O5" s="55">
        <v>0.99203191483706066</v>
      </c>
      <c r="P5" t="s">
        <v>40</v>
      </c>
      <c r="Q5" s="26">
        <f t="shared" si="0"/>
        <v>349.76705198159999</v>
      </c>
      <c r="R5" s="26">
        <f t="shared" si="1"/>
        <v>351.61973915880003</v>
      </c>
      <c r="S5" s="26">
        <f t="shared" si="2"/>
        <v>145.66417299</v>
      </c>
      <c r="T5" s="26">
        <f t="shared" si="3"/>
        <v>819.74694956400015</v>
      </c>
      <c r="U5" s="26">
        <f t="shared" si="4"/>
        <v>834.51474590399994</v>
      </c>
      <c r="V5" s="26">
        <f t="shared" si="5"/>
        <v>980.34300552000002</v>
      </c>
      <c r="W5" s="26">
        <f t="shared" si="6"/>
        <v>1026.58560012</v>
      </c>
      <c r="X5" s="26">
        <f t="shared" si="7"/>
        <v>516.73563581279996</v>
      </c>
      <c r="Y5" s="26">
        <f t="shared" si="8"/>
        <v>339.06860396640002</v>
      </c>
      <c r="Z5" s="26">
        <f t="shared" si="9"/>
        <v>433.07532369839998</v>
      </c>
      <c r="AB5" t="s">
        <v>40</v>
      </c>
      <c r="AC5" s="22">
        <f>Q5*1000/8760/Q15</f>
        <v>0.16990530068085105</v>
      </c>
      <c r="AD5" s="22">
        <f t="shared" ref="AD5:AL5" si="20">R5*1000/8760/R15</f>
        <v>0.16724683179166669</v>
      </c>
      <c r="AE5" s="22">
        <f t="shared" si="20"/>
        <v>0.16628330249999998</v>
      </c>
      <c r="AF5" s="22">
        <f t="shared" si="20"/>
        <v>0.17014257981818184</v>
      </c>
      <c r="AG5" s="22">
        <f t="shared" si="20"/>
        <v>0.16424869034482756</v>
      </c>
      <c r="AH5" s="22">
        <f t="shared" si="20"/>
        <v>0.16956257878787881</v>
      </c>
      <c r="AI5" s="22">
        <f t="shared" si="20"/>
        <v>0.16984077826086955</v>
      </c>
      <c r="AJ5" s="22">
        <f t="shared" si="20"/>
        <v>0.17097996023188405</v>
      </c>
      <c r="AK5" s="22">
        <f t="shared" si="20"/>
        <v>0.15179004564705884</v>
      </c>
      <c r="AL5" s="22">
        <f t="shared" si="20"/>
        <v>0.19775128936</v>
      </c>
      <c r="AP5" s="56"/>
      <c r="AQ5" t="s">
        <v>40</v>
      </c>
      <c r="AR5">
        <f t="shared" si="14"/>
        <v>1.3115483508268797</v>
      </c>
      <c r="AT5" t="s">
        <v>40</v>
      </c>
      <c r="AU5">
        <f t="shared" si="15"/>
        <v>1.3115483508268797</v>
      </c>
      <c r="AW5" t="s">
        <v>40</v>
      </c>
      <c r="AX5">
        <f t="shared" si="16"/>
        <v>1.6667159222484673</v>
      </c>
      <c r="AZ5" t="s">
        <v>40</v>
      </c>
      <c r="BA5">
        <f t="shared" si="17"/>
        <v>1.6667159222484673</v>
      </c>
      <c r="BC5" t="s">
        <v>40</v>
      </c>
      <c r="BD5">
        <v>1.3115483508268797</v>
      </c>
      <c r="BE5">
        <v>1.3115483508268797</v>
      </c>
      <c r="BF5">
        <v>1.6667159222484673</v>
      </c>
      <c r="BG5">
        <v>1.6667159222484673</v>
      </c>
      <c r="BJ5" s="28">
        <f t="shared" si="11"/>
        <v>3.992774566E-2</v>
      </c>
      <c r="BK5" s="28">
        <f t="shared" si="11"/>
        <v>4.0139239630000004E-2</v>
      </c>
      <c r="BL5" s="28">
        <f t="shared" si="11"/>
        <v>1.662833025E-2</v>
      </c>
      <c r="BM5" s="28">
        <f t="shared" si="11"/>
        <v>9.3578418900000016E-2</v>
      </c>
      <c r="BN5" s="28">
        <f t="shared" si="11"/>
        <v>9.5264240399999991E-2</v>
      </c>
      <c r="BO5" s="28">
        <f t="shared" si="11"/>
        <v>0.111911302</v>
      </c>
      <c r="BP5" s="28">
        <f t="shared" si="11"/>
        <v>0.117190137</v>
      </c>
      <c r="BQ5" s="28">
        <f t="shared" si="11"/>
        <v>5.8988086279999997E-2</v>
      </c>
      <c r="BR5" s="28">
        <f t="shared" si="11"/>
        <v>3.8706461640000002E-2</v>
      </c>
      <c r="BS5" s="28">
        <f t="shared" si="11"/>
        <v>4.943782234E-2</v>
      </c>
      <c r="BV5" s="3">
        <f t="shared" si="18"/>
        <v>3.992774566</v>
      </c>
      <c r="BW5" s="3">
        <f t="shared" si="12"/>
        <v>4.0139239630000008</v>
      </c>
      <c r="BX5" s="3">
        <f t="shared" si="12"/>
        <v>1.6628330250000001</v>
      </c>
      <c r="BY5" s="3">
        <f t="shared" si="12"/>
        <v>9.3578418900000013</v>
      </c>
      <c r="BZ5" s="3">
        <f t="shared" si="12"/>
        <v>9.5264240399999984</v>
      </c>
      <c r="CA5" s="3">
        <f t="shared" si="12"/>
        <v>11.1911302</v>
      </c>
      <c r="CB5" s="3">
        <f t="shared" si="12"/>
        <v>11.7190137</v>
      </c>
      <c r="CC5" s="3">
        <f t="shared" si="12"/>
        <v>5.8988086279999994</v>
      </c>
      <c r="CD5" s="3">
        <f t="shared" si="12"/>
        <v>3.8706461640000001</v>
      </c>
      <c r="CE5" s="3">
        <f t="shared" si="12"/>
        <v>4.9437822340000004</v>
      </c>
    </row>
    <row r="6" spans="1:83" x14ac:dyDescent="0.2">
      <c r="A6" t="s">
        <v>41</v>
      </c>
      <c r="B6">
        <v>122.6</v>
      </c>
      <c r="C6">
        <v>30.56</v>
      </c>
      <c r="D6">
        <v>612071</v>
      </c>
      <c r="E6" s="3">
        <v>170.01972222222221</v>
      </c>
      <c r="F6" s="3">
        <v>5.65</v>
      </c>
      <c r="G6" s="3">
        <v>1.07</v>
      </c>
      <c r="H6" s="3">
        <v>18.46</v>
      </c>
      <c r="I6" s="3">
        <v>13.73</v>
      </c>
      <c r="J6" s="3"/>
      <c r="K6" s="3"/>
      <c r="L6" s="3"/>
      <c r="N6" s="3"/>
      <c r="O6" s="55">
        <v>0.98846702060335279</v>
      </c>
      <c r="P6" t="s">
        <v>41</v>
      </c>
      <c r="Q6" s="26">
        <f t="shared" si="0"/>
        <v>349.22216883693341</v>
      </c>
      <c r="R6" s="26">
        <f t="shared" si="1"/>
        <v>351.07196981313336</v>
      </c>
      <c r="S6" s="26">
        <f t="shared" si="2"/>
        <v>145.43725066499999</v>
      </c>
      <c r="T6" s="26">
        <f t="shared" si="3"/>
        <v>818.46991019400002</v>
      </c>
      <c r="U6" s="26">
        <f t="shared" si="4"/>
        <v>833.21470058400007</v>
      </c>
      <c r="V6" s="26">
        <f t="shared" si="5"/>
        <v>978.8157822533334</v>
      </c>
      <c r="W6" s="26">
        <f t="shared" si="6"/>
        <v>1024.9863380199999</v>
      </c>
      <c r="X6" s="26">
        <f t="shared" si="7"/>
        <v>515.93064135546661</v>
      </c>
      <c r="Y6" s="26">
        <f t="shared" si="8"/>
        <v>338.54038735439997</v>
      </c>
      <c r="Z6" s="26">
        <f t="shared" si="9"/>
        <v>432.40065910973334</v>
      </c>
      <c r="AB6" t="s">
        <v>41</v>
      </c>
      <c r="AC6" s="22">
        <f>Q6*1000/8760/Q15</f>
        <v>0.16964061441607567</v>
      </c>
      <c r="AD6" s="22">
        <f t="shared" ref="AD6:AL6" si="21">R6*1000/8760/R15</f>
        <v>0.16698628701157409</v>
      </c>
      <c r="AE6" s="22">
        <f t="shared" si="21"/>
        <v>0.16602425875000001</v>
      </c>
      <c r="AF6" s="22">
        <f t="shared" si="21"/>
        <v>0.16987752390909092</v>
      </c>
      <c r="AG6" s="22">
        <f t="shared" si="21"/>
        <v>0.16399281620689657</v>
      </c>
      <c r="AH6" s="22">
        <f t="shared" si="21"/>
        <v>0.16929842643097642</v>
      </c>
      <c r="AI6" s="22">
        <f t="shared" si="21"/>
        <v>0.16957619251207728</v>
      </c>
      <c r="AJ6" s="22">
        <f t="shared" si="21"/>
        <v>0.1707135998132045</v>
      </c>
      <c r="AK6" s="22">
        <f t="shared" si="21"/>
        <v>0.15155358015686274</v>
      </c>
      <c r="AL6" s="22">
        <f t="shared" si="21"/>
        <v>0.19744322333777781</v>
      </c>
      <c r="AP6" s="56"/>
      <c r="AQ6" t="s">
        <v>41</v>
      </c>
      <c r="AR6">
        <f t="shared" si="14"/>
        <v>1.4186023181603158</v>
      </c>
      <c r="AT6" t="s">
        <v>41</v>
      </c>
      <c r="AU6">
        <f t="shared" si="15"/>
        <v>2.0664255869626702</v>
      </c>
      <c r="AW6" t="s">
        <v>41</v>
      </c>
      <c r="AX6">
        <f t="shared" si="16"/>
        <v>2.4776462920236249</v>
      </c>
      <c r="AZ6" t="s">
        <v>41</v>
      </c>
      <c r="BA6">
        <f t="shared" si="17"/>
        <v>3.6090958175793761</v>
      </c>
      <c r="BC6" t="s">
        <v>41</v>
      </c>
      <c r="BD6">
        <v>1.4186023181603158</v>
      </c>
      <c r="BE6">
        <v>2.0664255869626702</v>
      </c>
      <c r="BF6">
        <v>2.4776462920236249</v>
      </c>
      <c r="BG6">
        <v>3.6090958175793761</v>
      </c>
      <c r="BJ6" s="28">
        <f t="shared" si="11"/>
        <v>3.9865544387777785E-2</v>
      </c>
      <c r="BK6" s="28">
        <f t="shared" si="11"/>
        <v>4.0076708882777784E-2</v>
      </c>
      <c r="BL6" s="28">
        <f t="shared" si="11"/>
        <v>1.6602425875E-2</v>
      </c>
      <c r="BM6" s="28">
        <f t="shared" si="11"/>
        <v>9.3432638149999997E-2</v>
      </c>
      <c r="BN6" s="28">
        <f t="shared" si="11"/>
        <v>9.5115833400000002E-2</v>
      </c>
      <c r="BO6" s="28">
        <f t="shared" si="11"/>
        <v>0.11173696144444445</v>
      </c>
      <c r="BP6" s="28">
        <f t="shared" si="11"/>
        <v>0.11700757283333332</v>
      </c>
      <c r="BQ6" s="28">
        <f t="shared" si="11"/>
        <v>5.889619193555555E-2</v>
      </c>
      <c r="BR6" s="28">
        <f t="shared" si="11"/>
        <v>3.8646162939999999E-2</v>
      </c>
      <c r="BS6" s="28">
        <f t="shared" si="11"/>
        <v>4.9360805834444445E-2</v>
      </c>
      <c r="BV6" s="3">
        <f t="shared" si="18"/>
        <v>3.9865544387777785</v>
      </c>
      <c r="BW6" s="3">
        <f t="shared" si="12"/>
        <v>4.0076708882777785</v>
      </c>
      <c r="BX6" s="3">
        <f t="shared" si="12"/>
        <v>1.6602425875</v>
      </c>
      <c r="BY6" s="3">
        <f t="shared" si="12"/>
        <v>9.3432638150000002</v>
      </c>
      <c r="BZ6" s="3">
        <f t="shared" si="12"/>
        <v>9.5115833399999996</v>
      </c>
      <c r="CA6" s="3">
        <f t="shared" si="12"/>
        <v>11.173696144444445</v>
      </c>
      <c r="CB6" s="3">
        <f t="shared" si="12"/>
        <v>11.700757283333333</v>
      </c>
      <c r="CC6" s="3">
        <f t="shared" si="12"/>
        <v>5.8896191935555553</v>
      </c>
      <c r="CD6" s="3">
        <f t="shared" si="12"/>
        <v>3.8646162939999997</v>
      </c>
      <c r="CE6" s="3">
        <f t="shared" si="12"/>
        <v>4.9360805834444443</v>
      </c>
    </row>
    <row r="7" spans="1:83" x14ac:dyDescent="0.2">
      <c r="A7" t="s">
        <v>42</v>
      </c>
      <c r="B7">
        <v>122.5</v>
      </c>
      <c r="C7">
        <v>30.36</v>
      </c>
      <c r="D7">
        <v>614579</v>
      </c>
      <c r="E7" s="3">
        <v>170.7163888888889</v>
      </c>
      <c r="F7" s="3">
        <v>6.02</v>
      </c>
      <c r="G7" s="3">
        <v>0.96</v>
      </c>
      <c r="H7" s="3">
        <v>26.19</v>
      </c>
      <c r="I7" s="3">
        <v>18.68</v>
      </c>
      <c r="J7" s="3"/>
      <c r="K7" s="3"/>
      <c r="L7" s="3"/>
      <c r="N7" s="3"/>
      <c r="O7" s="55">
        <v>0.98078696898179296</v>
      </c>
      <c r="P7" t="s">
        <v>42</v>
      </c>
      <c r="Q7" s="26">
        <f t="shared" si="0"/>
        <v>350.6531289697333</v>
      </c>
      <c r="R7" s="26">
        <f t="shared" si="1"/>
        <v>352.51050962353327</v>
      </c>
      <c r="S7" s="26">
        <f t="shared" si="2"/>
        <v>146.033189085</v>
      </c>
      <c r="T7" s="26">
        <f t="shared" si="3"/>
        <v>821.82364290599992</v>
      </c>
      <c r="U7" s="26">
        <f t="shared" si="4"/>
        <v>836.62885101600011</v>
      </c>
      <c r="V7" s="26">
        <f t="shared" si="5"/>
        <v>982.82654241333341</v>
      </c>
      <c r="W7" s="26">
        <f t="shared" si="6"/>
        <v>1029.1862849800002</v>
      </c>
      <c r="X7" s="26">
        <f t="shared" si="7"/>
        <v>518.04470009786667</v>
      </c>
      <c r="Y7" s="26">
        <f t="shared" si="8"/>
        <v>339.92757820559996</v>
      </c>
      <c r="Z7" s="26">
        <f t="shared" si="9"/>
        <v>434.17244841693343</v>
      </c>
      <c r="AB7" t="s">
        <v>42</v>
      </c>
      <c r="AC7" s="22">
        <f>Q7*1000/8760/Q15</f>
        <v>0.17033572766430258</v>
      </c>
      <c r="AD7" s="22">
        <f t="shared" ref="AD7:AL7" si="22">R7*1000/8760/R15</f>
        <v>0.16767052398379625</v>
      </c>
      <c r="AE7" s="22">
        <f t="shared" si="22"/>
        <v>0.16670455374999998</v>
      </c>
      <c r="AF7" s="22">
        <f t="shared" si="22"/>
        <v>0.1705736079090909</v>
      </c>
      <c r="AG7" s="22">
        <f t="shared" si="22"/>
        <v>0.16466478724137934</v>
      </c>
      <c r="AH7" s="22">
        <f t="shared" si="22"/>
        <v>0.16999213754208756</v>
      </c>
      <c r="AI7" s="22">
        <f t="shared" si="22"/>
        <v>0.17027104178743965</v>
      </c>
      <c r="AJ7" s="22">
        <f t="shared" si="22"/>
        <v>0.17141310968760062</v>
      </c>
      <c r="AK7" s="22">
        <f t="shared" si="22"/>
        <v>0.15217458062745098</v>
      </c>
      <c r="AL7" s="22">
        <f t="shared" si="22"/>
        <v>0.19825225955111114</v>
      </c>
      <c r="AP7" s="56"/>
      <c r="AQ7" t="s">
        <v>42</v>
      </c>
      <c r="AR7">
        <f t="shared" si="14"/>
        <v>1.4892376777223244</v>
      </c>
      <c r="AT7" t="s">
        <v>42</v>
      </c>
      <c r="AU7">
        <f t="shared" si="15"/>
        <v>1.5290416629993622</v>
      </c>
      <c r="AW7" t="s">
        <v>42</v>
      </c>
      <c r="AX7">
        <f t="shared" si="16"/>
        <v>1.9117729931360461</v>
      </c>
      <c r="AZ7" t="s">
        <v>42</v>
      </c>
      <c r="BA7">
        <f t="shared" si="17"/>
        <v>1.9628704003599953</v>
      </c>
      <c r="BC7" t="s">
        <v>42</v>
      </c>
      <c r="BD7">
        <v>1.4892376777223244</v>
      </c>
      <c r="BE7">
        <v>1.5290416629993622</v>
      </c>
      <c r="BF7">
        <v>1.9117729931360461</v>
      </c>
      <c r="BG7">
        <v>1.9628704003599953</v>
      </c>
      <c r="BJ7" s="28">
        <f>Q7/8760</f>
        <v>4.0028896001111106E-2</v>
      </c>
      <c r="BK7" s="28">
        <v>1</v>
      </c>
      <c r="BL7" s="28">
        <f t="shared" ref="BL7:BS11" si="23">S7/8760</f>
        <v>1.6670455375E-2</v>
      </c>
      <c r="BM7" s="28">
        <f t="shared" si="23"/>
        <v>9.3815484349999992E-2</v>
      </c>
      <c r="BN7" s="28">
        <f t="shared" si="23"/>
        <v>9.5505576600000017E-2</v>
      </c>
      <c r="BO7" s="28">
        <f t="shared" si="23"/>
        <v>0.11219481077777779</v>
      </c>
      <c r="BP7" s="28">
        <f t="shared" si="23"/>
        <v>0.11748701883333336</v>
      </c>
      <c r="BQ7" s="28">
        <f t="shared" si="23"/>
        <v>5.913752284222222E-2</v>
      </c>
      <c r="BR7" s="28">
        <f t="shared" si="23"/>
        <v>3.8804518059999994E-2</v>
      </c>
      <c r="BS7" s="28">
        <f t="shared" si="23"/>
        <v>4.9563064887777793E-2</v>
      </c>
      <c r="BV7" s="3">
        <f t="shared" si="18"/>
        <v>4.0028896001111107</v>
      </c>
      <c r="BW7" s="3">
        <f t="shared" si="12"/>
        <v>100</v>
      </c>
      <c r="BX7" s="3">
        <f t="shared" si="12"/>
        <v>1.6670455375</v>
      </c>
      <c r="BY7" s="3">
        <f t="shared" si="12"/>
        <v>9.3815484349999991</v>
      </c>
      <c r="BZ7" s="3">
        <f t="shared" si="12"/>
        <v>9.5505576600000008</v>
      </c>
      <c r="CA7" s="3">
        <f t="shared" si="12"/>
        <v>11.219481077777779</v>
      </c>
      <c r="CB7" s="3">
        <f t="shared" si="12"/>
        <v>11.748701883333336</v>
      </c>
      <c r="CC7" s="3">
        <f t="shared" si="12"/>
        <v>5.9137522842222223</v>
      </c>
      <c r="CD7" s="3">
        <f t="shared" si="12"/>
        <v>3.8804518059999995</v>
      </c>
      <c r="CE7" s="3">
        <f t="shared" si="12"/>
        <v>4.9563064887777797</v>
      </c>
    </row>
    <row r="8" spans="1:83" x14ac:dyDescent="0.2">
      <c r="A8" t="s">
        <v>43</v>
      </c>
      <c r="B8">
        <v>122.4</v>
      </c>
      <c r="C8">
        <v>30.14</v>
      </c>
      <c r="D8">
        <v>615174</v>
      </c>
      <c r="E8" s="3">
        <v>170.88166666666666</v>
      </c>
      <c r="F8" s="3">
        <v>5.33</v>
      </c>
      <c r="G8" s="3">
        <v>0.82</v>
      </c>
      <c r="H8" s="3">
        <v>22.36</v>
      </c>
      <c r="I8" s="3">
        <v>18.52</v>
      </c>
      <c r="J8" s="3"/>
      <c r="K8" s="3"/>
      <c r="L8" s="3"/>
      <c r="N8" s="3"/>
      <c r="O8" s="55">
        <v>0.9712222006007456</v>
      </c>
      <c r="P8" t="s">
        <v>43</v>
      </c>
      <c r="Q8" s="26">
        <f t="shared" si="0"/>
        <v>350.99261113839998</v>
      </c>
      <c r="R8" s="26">
        <f t="shared" si="1"/>
        <v>352.85179000120002</v>
      </c>
      <c r="S8" s="26">
        <f t="shared" si="2"/>
        <v>146.17457001</v>
      </c>
      <c r="T8" s="26">
        <f t="shared" si="3"/>
        <v>822.619285236</v>
      </c>
      <c r="U8" s="26">
        <f t="shared" si="4"/>
        <v>837.43882689600002</v>
      </c>
      <c r="V8" s="26">
        <f t="shared" si="5"/>
        <v>983.77805848000003</v>
      </c>
      <c r="W8" s="26">
        <f t="shared" si="6"/>
        <v>1030.1826838800002</v>
      </c>
      <c r="X8" s="26">
        <f t="shared" si="7"/>
        <v>518.54624114719991</v>
      </c>
      <c r="Y8" s="26">
        <f t="shared" si="8"/>
        <v>340.25667651359993</v>
      </c>
      <c r="Z8" s="26">
        <f t="shared" si="9"/>
        <v>434.59278918160004</v>
      </c>
      <c r="AB8" t="s">
        <v>43</v>
      </c>
      <c r="AC8" s="22">
        <f>Q8*1000/8760/Q15</f>
        <v>0.1705006369078014</v>
      </c>
      <c r="AD8" s="22">
        <f t="shared" ref="AD8:AL8" si="24">R8*1000/8760/R15</f>
        <v>0.16783285293055555</v>
      </c>
      <c r="AE8" s="22">
        <f t="shared" si="24"/>
        <v>0.1668659475</v>
      </c>
      <c r="AF8" s="22">
        <f t="shared" si="24"/>
        <v>0.17073874745454545</v>
      </c>
      <c r="AG8" s="22">
        <f t="shared" si="24"/>
        <v>0.16482420620689656</v>
      </c>
      <c r="AH8" s="22">
        <f t="shared" si="24"/>
        <v>0.17015671414141414</v>
      </c>
      <c r="AI8" s="22">
        <f t="shared" si="24"/>
        <v>0.17043588840579715</v>
      </c>
      <c r="AJ8" s="22">
        <f t="shared" si="24"/>
        <v>0.17157906199033812</v>
      </c>
      <c r="AK8" s="22">
        <f t="shared" si="24"/>
        <v>0.1523219072941176</v>
      </c>
      <c r="AL8" s="22">
        <f t="shared" si="24"/>
        <v>0.19844419597333335</v>
      </c>
      <c r="AP8" s="56"/>
      <c r="AQ8" t="s">
        <v>43</v>
      </c>
      <c r="AR8">
        <f t="shared" si="14"/>
        <v>1.9753637423129535</v>
      </c>
      <c r="AT8" t="s">
        <v>43</v>
      </c>
      <c r="AU8">
        <f t="shared" si="15"/>
        <v>2.3755604217708104</v>
      </c>
      <c r="AW8" t="s">
        <v>43</v>
      </c>
      <c r="AX8">
        <f t="shared" si="16"/>
        <v>2.5577333985240074</v>
      </c>
      <c r="AZ8" t="s">
        <v>43</v>
      </c>
      <c r="BA8">
        <f t="shared" si="17"/>
        <v>3.0759146281892029</v>
      </c>
      <c r="BC8" t="s">
        <v>43</v>
      </c>
      <c r="BD8">
        <v>1.9753637423129535</v>
      </c>
      <c r="BE8">
        <v>2.3755604217708104</v>
      </c>
      <c r="BF8">
        <v>2.5577333985240074</v>
      </c>
      <c r="BG8">
        <v>3.0759146281892029</v>
      </c>
      <c r="BJ8" s="28">
        <f>Q8/8760</f>
        <v>4.006764967333333E-2</v>
      </c>
      <c r="BK8" s="28">
        <f>R8/8760</f>
        <v>4.0279884703333338E-2</v>
      </c>
      <c r="BL8" s="28">
        <f t="shared" si="23"/>
        <v>1.6686594749999999E-2</v>
      </c>
      <c r="BM8" s="28">
        <f t="shared" si="23"/>
        <v>9.3906311100000001E-2</v>
      </c>
      <c r="BN8" s="28">
        <f t="shared" si="23"/>
        <v>9.5598039600000004E-2</v>
      </c>
      <c r="BO8" s="28">
        <f t="shared" si="23"/>
        <v>0.11230343133333334</v>
      </c>
      <c r="BP8" s="28">
        <f t="shared" si="23"/>
        <v>0.11760076300000002</v>
      </c>
      <c r="BQ8" s="28">
        <f t="shared" si="23"/>
        <v>5.9194776386666655E-2</v>
      </c>
      <c r="BR8" s="28">
        <f t="shared" si="23"/>
        <v>3.8842086359999993E-2</v>
      </c>
      <c r="BS8" s="28">
        <f t="shared" si="23"/>
        <v>4.9611048993333337E-2</v>
      </c>
      <c r="BV8" s="3">
        <f t="shared" si="18"/>
        <v>4.006764967333333</v>
      </c>
      <c r="BW8" s="3">
        <f t="shared" si="12"/>
        <v>4.0279884703333337</v>
      </c>
      <c r="BX8" s="3">
        <f t="shared" si="12"/>
        <v>1.6686594749999999</v>
      </c>
      <c r="BY8" s="3">
        <f t="shared" si="12"/>
        <v>9.3906311099999993</v>
      </c>
      <c r="BZ8" s="3">
        <f t="shared" si="12"/>
        <v>9.55980396</v>
      </c>
      <c r="CA8" s="3">
        <f t="shared" si="12"/>
        <v>11.230343133333335</v>
      </c>
      <c r="CB8" s="3">
        <f t="shared" si="12"/>
        <v>11.760076300000003</v>
      </c>
      <c r="CC8" s="3">
        <f t="shared" si="12"/>
        <v>5.9194776386666659</v>
      </c>
      <c r="CD8" s="3">
        <f t="shared" si="12"/>
        <v>3.8842086359999994</v>
      </c>
      <c r="CE8" s="3">
        <f t="shared" si="12"/>
        <v>4.9611048993333338</v>
      </c>
    </row>
    <row r="9" spans="1:83" x14ac:dyDescent="0.2">
      <c r="A9" t="s">
        <v>44</v>
      </c>
      <c r="B9">
        <v>122.6</v>
      </c>
      <c r="C9">
        <v>29.98</v>
      </c>
      <c r="D9">
        <v>617325</v>
      </c>
      <c r="E9" s="3">
        <v>171.47916666666666</v>
      </c>
      <c r="F9" s="3">
        <v>5.93</v>
      </c>
      <c r="G9" s="3">
        <v>1.19</v>
      </c>
      <c r="H9" s="3">
        <v>25.59</v>
      </c>
      <c r="I9" s="3">
        <v>23.98</v>
      </c>
      <c r="J9" s="3"/>
      <c r="K9" s="3"/>
      <c r="L9" s="3"/>
      <c r="N9" s="3"/>
      <c r="O9" s="55">
        <v>0.96406168290756411</v>
      </c>
      <c r="P9" t="s">
        <v>44</v>
      </c>
      <c r="Q9" s="26">
        <f t="shared" si="0"/>
        <v>352.21988196999996</v>
      </c>
      <c r="R9" s="26">
        <f t="shared" si="1"/>
        <v>354.08556158499999</v>
      </c>
      <c r="S9" s="26">
        <f t="shared" si="2"/>
        <v>146.68567987499998</v>
      </c>
      <c r="T9" s="26">
        <f t="shared" si="3"/>
        <v>825.4956325500001</v>
      </c>
      <c r="U9" s="26">
        <f t="shared" si="4"/>
        <v>840.36699179999994</v>
      </c>
      <c r="V9" s="26">
        <f t="shared" si="5"/>
        <v>987.21790899999996</v>
      </c>
      <c r="W9" s="26">
        <f t="shared" si="6"/>
        <v>1033.7847915</v>
      </c>
      <c r="X9" s="26">
        <f t="shared" si="7"/>
        <v>520.35937525999987</v>
      </c>
      <c r="Y9" s="26">
        <f t="shared" si="8"/>
        <v>341.44640837999998</v>
      </c>
      <c r="Z9" s="26">
        <f t="shared" si="9"/>
        <v>436.11237402999996</v>
      </c>
      <c r="AB9" t="s">
        <v>44</v>
      </c>
      <c r="AC9" s="22">
        <f>Q9*1000/8760/Q15</f>
        <v>0.17109680460992907</v>
      </c>
      <c r="AD9" s="22">
        <f t="shared" ref="AD9:AL9" si="25">R9*1000/8760/R15</f>
        <v>0.16841969253472222</v>
      </c>
      <c r="AE9" s="22">
        <f t="shared" si="25"/>
        <v>0.16744940624999999</v>
      </c>
      <c r="AF9" s="22">
        <f t="shared" si="25"/>
        <v>0.17133574772727275</v>
      </c>
      <c r="AG9" s="22">
        <f t="shared" si="25"/>
        <v>0.16540052586206896</v>
      </c>
      <c r="AH9" s="22">
        <f t="shared" si="25"/>
        <v>0.17075167929292928</v>
      </c>
      <c r="AI9" s="22">
        <f t="shared" si="25"/>
        <v>0.17103182971014491</v>
      </c>
      <c r="AJ9" s="22">
        <f t="shared" si="25"/>
        <v>0.17217900048309176</v>
      </c>
      <c r="AK9" s="22">
        <f t="shared" si="25"/>
        <v>0.15285451176470588</v>
      </c>
      <c r="AL9" s="22">
        <f t="shared" si="25"/>
        <v>0.19913807033333331</v>
      </c>
      <c r="AP9" s="56"/>
      <c r="AQ9" t="s">
        <v>44</v>
      </c>
      <c r="AR9">
        <f t="shared" si="14"/>
        <v>1.2279910050361393</v>
      </c>
      <c r="AT9" t="s">
        <v>44</v>
      </c>
      <c r="AU9">
        <f t="shared" si="15"/>
        <v>1.2903742917319965</v>
      </c>
      <c r="AW9" t="s">
        <v>44</v>
      </c>
      <c r="AX9">
        <f t="shared" si="16"/>
        <v>1.2279910050361393</v>
      </c>
      <c r="AZ9" t="s">
        <v>44</v>
      </c>
      <c r="BA9">
        <f t="shared" si="17"/>
        <v>1.2903742917319965</v>
      </c>
      <c r="BC9" t="s">
        <v>44</v>
      </c>
      <c r="BD9">
        <v>1.2279910050361393</v>
      </c>
      <c r="BE9">
        <v>1.2903742917319965</v>
      </c>
      <c r="BF9">
        <v>1.2279910050361393</v>
      </c>
      <c r="BG9">
        <v>1.2903742917319965</v>
      </c>
      <c r="BJ9" s="28">
        <f>Q9/8760</f>
        <v>4.0207749083333327E-2</v>
      </c>
      <c r="BK9" s="28">
        <f>R9/8760</f>
        <v>4.0420726208333334E-2</v>
      </c>
      <c r="BL9" s="28">
        <f t="shared" si="23"/>
        <v>1.6744940624999996E-2</v>
      </c>
      <c r="BM9" s="28">
        <f t="shared" si="23"/>
        <v>9.4234661250000004E-2</v>
      </c>
      <c r="BN9" s="28">
        <f t="shared" si="23"/>
        <v>9.5932304999999995E-2</v>
      </c>
      <c r="BO9" s="28">
        <f t="shared" si="23"/>
        <v>0.11269610833333332</v>
      </c>
      <c r="BP9" s="28">
        <f t="shared" si="23"/>
        <v>0.1180119625</v>
      </c>
      <c r="BQ9" s="28">
        <f t="shared" si="23"/>
        <v>5.9401755166666653E-2</v>
      </c>
      <c r="BR9" s="28">
        <f t="shared" si="23"/>
        <v>3.8977900499999996E-2</v>
      </c>
      <c r="BS9" s="28">
        <f t="shared" si="23"/>
        <v>4.9784517583333326E-2</v>
      </c>
      <c r="BV9" s="3">
        <f t="shared" si="18"/>
        <v>4.0207749083333324</v>
      </c>
      <c r="BW9" s="3">
        <f t="shared" si="12"/>
        <v>4.0420726208333333</v>
      </c>
      <c r="BX9" s="3">
        <f t="shared" si="12"/>
        <v>1.6744940624999995</v>
      </c>
      <c r="BY9" s="3">
        <f t="shared" si="12"/>
        <v>9.4234661250000009</v>
      </c>
      <c r="BZ9" s="3">
        <f t="shared" si="12"/>
        <v>9.5932304999999989</v>
      </c>
      <c r="CA9" s="3">
        <f t="shared" si="12"/>
        <v>11.269610833333331</v>
      </c>
      <c r="CB9" s="3">
        <f t="shared" si="12"/>
        <v>11.80119625</v>
      </c>
      <c r="CC9" s="3">
        <f t="shared" si="12"/>
        <v>5.940175516666665</v>
      </c>
      <c r="CD9" s="3">
        <f t="shared" si="12"/>
        <v>3.8977900499999993</v>
      </c>
      <c r="CE9" s="3">
        <f t="shared" si="12"/>
        <v>4.9784517583333328</v>
      </c>
    </row>
    <row r="10" spans="1:83" x14ac:dyDescent="0.2">
      <c r="A10" t="s">
        <v>45</v>
      </c>
      <c r="B10">
        <v>122.4</v>
      </c>
      <c r="C10">
        <v>29.76</v>
      </c>
      <c r="D10">
        <v>618054</v>
      </c>
      <c r="E10" s="3">
        <v>171.68166666666667</v>
      </c>
      <c r="F10" s="3">
        <v>5.97</v>
      </c>
      <c r="G10" s="3">
        <v>1.03</v>
      </c>
      <c r="H10" s="3">
        <v>18.149999999999999</v>
      </c>
      <c r="I10" s="3">
        <v>14.68</v>
      </c>
      <c r="J10" s="3"/>
      <c r="K10" s="3"/>
      <c r="L10" s="3"/>
      <c r="N10" s="3"/>
      <c r="O10" s="55">
        <v>0.9616545388840454</v>
      </c>
      <c r="P10" t="s">
        <v>45</v>
      </c>
      <c r="Q10" s="26">
        <f t="shared" si="0"/>
        <v>352.63581894640004</v>
      </c>
      <c r="R10" s="26">
        <f t="shared" si="1"/>
        <v>354.50370174520003</v>
      </c>
      <c r="S10" s="26">
        <f t="shared" si="2"/>
        <v>146.85890120999997</v>
      </c>
      <c r="T10" s="26">
        <f t="shared" si="3"/>
        <v>826.47046155600003</v>
      </c>
      <c r="U10" s="26">
        <f t="shared" si="4"/>
        <v>841.35938241600002</v>
      </c>
      <c r="V10" s="26">
        <f t="shared" si="5"/>
        <v>988.38371607999989</v>
      </c>
      <c r="W10" s="26">
        <f t="shared" si="6"/>
        <v>1035.00558948</v>
      </c>
      <c r="X10" s="26">
        <f t="shared" si="7"/>
        <v>520.97386841119987</v>
      </c>
      <c r="Y10" s="26">
        <f t="shared" si="8"/>
        <v>341.8496229456</v>
      </c>
      <c r="Z10" s="26">
        <f t="shared" si="9"/>
        <v>436.62737977360001</v>
      </c>
      <c r="AB10" t="s">
        <v>45</v>
      </c>
      <c r="AC10" s="22">
        <f>Q10*1000/8760/Q15</f>
        <v>0.17129885307801418</v>
      </c>
      <c r="AD10" s="22">
        <f t="shared" ref="AD10:AL10" si="26">R10*1000/8760/R15</f>
        <v>0.16861857959722223</v>
      </c>
      <c r="AE10" s="22">
        <f t="shared" si="26"/>
        <v>0.16764714749999998</v>
      </c>
      <c r="AF10" s="22">
        <f t="shared" si="26"/>
        <v>0.17153807836363635</v>
      </c>
      <c r="AG10" s="22">
        <f t="shared" si="26"/>
        <v>0.16559584758620688</v>
      </c>
      <c r="AH10" s="22">
        <f t="shared" si="26"/>
        <v>0.1709533202020202</v>
      </c>
      <c r="AI10" s="22">
        <f t="shared" si="26"/>
        <v>0.17123380144927536</v>
      </c>
      <c r="AJ10" s="22">
        <f t="shared" si="26"/>
        <v>0.17238232691787436</v>
      </c>
      <c r="AK10" s="22">
        <f t="shared" si="26"/>
        <v>0.15303501788235294</v>
      </c>
      <c r="AL10" s="22">
        <f t="shared" si="26"/>
        <v>0.19937323277333335</v>
      </c>
      <c r="AP10" s="56"/>
      <c r="AQ10" t="s">
        <v>45</v>
      </c>
      <c r="AR10">
        <f t="shared" si="14"/>
        <v>1.4327236943590802</v>
      </c>
      <c r="AT10" t="s">
        <v>45</v>
      </c>
      <c r="AU10">
        <f t="shared" si="15"/>
        <v>2.1226413301000369</v>
      </c>
      <c r="AW10" t="s">
        <v>45</v>
      </c>
      <c r="AX10">
        <f t="shared" si="16"/>
        <v>2.3403756260715767</v>
      </c>
      <c r="AZ10" t="s">
        <v>45</v>
      </c>
      <c r="BA10">
        <f t="shared" si="17"/>
        <v>3.4673664234195427</v>
      </c>
      <c r="BC10" t="s">
        <v>45</v>
      </c>
      <c r="BD10">
        <v>1.4327236943590802</v>
      </c>
      <c r="BE10">
        <v>2.1226413301000369</v>
      </c>
      <c r="BF10">
        <v>2.3403756260715767</v>
      </c>
      <c r="BG10">
        <v>3.4673664234195427</v>
      </c>
      <c r="BJ10" s="28">
        <f>Q10/8760</f>
        <v>4.0255230473333341E-2</v>
      </c>
      <c r="BK10" s="28">
        <f>R10/8760</f>
        <v>4.046845910333334E-2</v>
      </c>
      <c r="BL10" s="28">
        <f t="shared" si="23"/>
        <v>1.6764714749999996E-2</v>
      </c>
      <c r="BM10" s="28">
        <f t="shared" si="23"/>
        <v>9.434594310000001E-2</v>
      </c>
      <c r="BN10" s="28">
        <f t="shared" si="23"/>
        <v>9.6045591600000008E-2</v>
      </c>
      <c r="BO10" s="28">
        <f t="shared" si="23"/>
        <v>0.11282919133333331</v>
      </c>
      <c r="BP10" s="28">
        <f t="shared" si="23"/>
        <v>0.118151323</v>
      </c>
      <c r="BQ10" s="28">
        <f t="shared" si="23"/>
        <v>5.9471902786666656E-2</v>
      </c>
      <c r="BR10" s="28">
        <f t="shared" si="23"/>
        <v>3.9023929560000004E-2</v>
      </c>
      <c r="BS10" s="28">
        <f t="shared" si="23"/>
        <v>4.9843308193333331E-2</v>
      </c>
      <c r="BV10" s="3">
        <f t="shared" si="18"/>
        <v>4.0255230473333343</v>
      </c>
      <c r="BW10" s="3">
        <f t="shared" si="12"/>
        <v>4.0468459103333343</v>
      </c>
      <c r="BX10" s="3">
        <f t="shared" si="12"/>
        <v>1.6764714749999996</v>
      </c>
      <c r="BY10" s="3">
        <f t="shared" si="12"/>
        <v>9.4345943100000014</v>
      </c>
      <c r="BZ10" s="3">
        <f t="shared" si="12"/>
        <v>9.6045591600000009</v>
      </c>
      <c r="CA10" s="3">
        <f t="shared" si="12"/>
        <v>11.282919133333332</v>
      </c>
      <c r="CB10" s="3">
        <f t="shared" si="12"/>
        <v>11.8151323</v>
      </c>
      <c r="CC10" s="3">
        <f t="shared" si="12"/>
        <v>5.9471902786666657</v>
      </c>
      <c r="CD10" s="3">
        <f t="shared" si="12"/>
        <v>3.9023929560000004</v>
      </c>
      <c r="CE10" s="3">
        <f t="shared" si="12"/>
        <v>4.9843308193333336</v>
      </c>
    </row>
    <row r="11" spans="1:83" x14ac:dyDescent="0.2">
      <c r="A11" t="s">
        <v>46</v>
      </c>
      <c r="B11">
        <v>122.8</v>
      </c>
      <c r="C11">
        <v>30.3</v>
      </c>
      <c r="D11">
        <v>615703</v>
      </c>
      <c r="E11" s="3">
        <v>171.0286111111111</v>
      </c>
      <c r="F11" s="3">
        <v>5.94</v>
      </c>
      <c r="G11" s="3">
        <v>1.27</v>
      </c>
      <c r="H11" s="3">
        <v>10.16</v>
      </c>
      <c r="I11" s="3">
        <v>9</v>
      </c>
      <c r="J11" s="3"/>
      <c r="K11" s="3"/>
      <c r="L11" s="3"/>
      <c r="N11" s="3"/>
      <c r="O11" s="55">
        <v>0.97394543350932117</v>
      </c>
      <c r="P11" t="s">
        <v>46</v>
      </c>
      <c r="Q11" s="26">
        <f t="shared" si="0"/>
        <v>351.2944364614666</v>
      </c>
      <c r="R11" s="26">
        <f t="shared" si="1"/>
        <v>353.1552140680667</v>
      </c>
      <c r="S11" s="26">
        <f t="shared" si="2"/>
        <v>146.30026834500001</v>
      </c>
      <c r="T11" s="26">
        <f t="shared" si="3"/>
        <v>823.32667144200013</v>
      </c>
      <c r="U11" s="26">
        <f t="shared" si="4"/>
        <v>838.15895671199996</v>
      </c>
      <c r="V11" s="26">
        <f t="shared" si="5"/>
        <v>984.62402822666661</v>
      </c>
      <c r="W11" s="26">
        <f t="shared" si="6"/>
        <v>1031.0685578600001</v>
      </c>
      <c r="X11" s="26">
        <f t="shared" si="7"/>
        <v>518.99214907173325</v>
      </c>
      <c r="Y11" s="26">
        <f t="shared" si="8"/>
        <v>340.54926979919992</v>
      </c>
      <c r="Z11" s="26">
        <f t="shared" si="9"/>
        <v>434.96650391186671</v>
      </c>
      <c r="AB11" t="s">
        <v>46</v>
      </c>
      <c r="AC11" s="22">
        <f>Q11*1000/8760/Q15</f>
        <v>0.1706472536973995</v>
      </c>
      <c r="AD11" s="22">
        <f t="shared" ref="AD11:AL11" si="27">R11*1000/8760/R15</f>
        <v>0.16797717564120371</v>
      </c>
      <c r="AE11" s="22">
        <f t="shared" si="27"/>
        <v>0.16700943875000004</v>
      </c>
      <c r="AF11" s="22">
        <f t="shared" si="27"/>
        <v>0.17088556900000001</v>
      </c>
      <c r="AG11" s="22">
        <f t="shared" si="27"/>
        <v>0.16496594172413792</v>
      </c>
      <c r="AH11" s="22">
        <f t="shared" si="27"/>
        <v>0.17030303518518516</v>
      </c>
      <c r="AI11" s="22">
        <f t="shared" si="27"/>
        <v>0.17058244951690821</v>
      </c>
      <c r="AJ11" s="22">
        <f t="shared" si="27"/>
        <v>0.17172660613848628</v>
      </c>
      <c r="AK11" s="22">
        <f t="shared" si="27"/>
        <v>0.15245289184313723</v>
      </c>
      <c r="AL11" s="22">
        <f t="shared" si="27"/>
        <v>0.1986148419688889</v>
      </c>
      <c r="AP11" s="56"/>
      <c r="AQ11" t="s">
        <v>46</v>
      </c>
      <c r="AR11">
        <f t="shared" si="14"/>
        <v>1.1798420223654882</v>
      </c>
      <c r="AT11" t="s">
        <v>46</v>
      </c>
      <c r="AU11">
        <f t="shared" si="15"/>
        <v>3.1226330690362181</v>
      </c>
      <c r="AW11" t="s">
        <v>46</v>
      </c>
      <c r="AX11">
        <f t="shared" si="16"/>
        <v>3.1436235218138231</v>
      </c>
      <c r="AZ11" t="s">
        <v>46</v>
      </c>
      <c r="BA11">
        <f t="shared" si="17"/>
        <v>8.3200823328320563</v>
      </c>
      <c r="BC11" t="s">
        <v>46</v>
      </c>
      <c r="BD11">
        <v>1.1798420223654882</v>
      </c>
      <c r="BE11">
        <v>3.1226330690362181</v>
      </c>
      <c r="BF11">
        <v>3.1436235218138231</v>
      </c>
      <c r="BG11">
        <v>8.3200823328320563</v>
      </c>
      <c r="BJ11" s="28">
        <f>Q11/8760</f>
        <v>4.0102104618888884E-2</v>
      </c>
      <c r="BK11" s="28">
        <f>R11/8760</f>
        <v>4.0314522153888893E-2</v>
      </c>
      <c r="BL11" s="28">
        <f t="shared" si="23"/>
        <v>1.6700943875000002E-2</v>
      </c>
      <c r="BM11" s="28">
        <f t="shared" si="23"/>
        <v>9.3987062950000019E-2</v>
      </c>
      <c r="BN11" s="28">
        <f t="shared" si="23"/>
        <v>9.5680246199999999E-2</v>
      </c>
      <c r="BO11" s="28">
        <f t="shared" si="23"/>
        <v>0.11240000322222221</v>
      </c>
      <c r="BP11" s="28">
        <f t="shared" si="23"/>
        <v>0.11770189016666667</v>
      </c>
      <c r="BQ11" s="28">
        <f t="shared" si="23"/>
        <v>5.9245679117777769E-2</v>
      </c>
      <c r="BR11" s="28">
        <f t="shared" si="23"/>
        <v>3.8875487419999993E-2</v>
      </c>
      <c r="BS11" s="28">
        <f t="shared" si="23"/>
        <v>4.9653710492222225E-2</v>
      </c>
      <c r="BV11" s="3">
        <f t="shared" si="18"/>
        <v>4.0102104618888887</v>
      </c>
      <c r="BW11" s="3">
        <f t="shared" si="12"/>
        <v>4.0314522153888896</v>
      </c>
      <c r="BX11" s="3">
        <f t="shared" si="12"/>
        <v>1.6700943875000003</v>
      </c>
      <c r="BY11" s="3">
        <f t="shared" si="12"/>
        <v>9.398706295000002</v>
      </c>
      <c r="BZ11" s="3">
        <f t="shared" si="12"/>
        <v>9.5680246199999992</v>
      </c>
      <c r="CA11" s="3">
        <f t="shared" si="12"/>
        <v>11.240000322222221</v>
      </c>
      <c r="CB11" s="3">
        <f t="shared" si="12"/>
        <v>11.770189016666667</v>
      </c>
      <c r="CC11" s="3">
        <f t="shared" si="12"/>
        <v>5.9245679117777765</v>
      </c>
      <c r="CD11" s="3">
        <f t="shared" si="12"/>
        <v>3.8875487419999994</v>
      </c>
      <c r="CE11" s="3">
        <f t="shared" si="12"/>
        <v>4.9653710492222221</v>
      </c>
    </row>
    <row r="12" spans="1:83" x14ac:dyDescent="0.2"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BJ12" s="28"/>
      <c r="BK12" s="28"/>
      <c r="BL12" s="28"/>
      <c r="BM12" s="28"/>
      <c r="BN12" s="28"/>
      <c r="BO12" s="28"/>
      <c r="BP12" s="28"/>
      <c r="BQ12" s="28"/>
      <c r="BR12" s="28"/>
      <c r="BS12" s="28"/>
    </row>
    <row r="13" spans="1:83" x14ac:dyDescent="0.2">
      <c r="BJ13" s="28"/>
      <c r="BK13" s="28"/>
      <c r="BL13" s="28"/>
      <c r="BM13" s="28"/>
      <c r="BN13" s="28"/>
      <c r="BO13" s="28"/>
      <c r="BP13" s="28"/>
      <c r="BQ13" s="28"/>
      <c r="BR13" s="28"/>
      <c r="BS13" s="28"/>
    </row>
    <row r="14" spans="1:83" x14ac:dyDescent="0.2">
      <c r="BJ14" s="28"/>
      <c r="BK14" s="28"/>
      <c r="BL14" s="28"/>
      <c r="BM14" s="28"/>
      <c r="BN14" s="28"/>
      <c r="BO14" s="28"/>
      <c r="BP14" s="28"/>
      <c r="BQ14" s="28"/>
      <c r="BR14" s="28"/>
      <c r="BS14" s="28"/>
    </row>
    <row r="15" spans="1:83" x14ac:dyDescent="0.2">
      <c r="P15" t="s">
        <v>115</v>
      </c>
      <c r="Q15">
        <v>235</v>
      </c>
      <c r="R15">
        <v>240</v>
      </c>
      <c r="S15">
        <v>100</v>
      </c>
      <c r="T15">
        <v>550</v>
      </c>
      <c r="U15">
        <v>580</v>
      </c>
      <c r="V15">
        <v>660</v>
      </c>
      <c r="W15">
        <v>690</v>
      </c>
      <c r="X15">
        <v>345</v>
      </c>
      <c r="Y15">
        <v>255</v>
      </c>
      <c r="Z15">
        <v>250</v>
      </c>
      <c r="BJ15" s="28"/>
    </row>
    <row r="16" spans="1:83" x14ac:dyDescent="0.2">
      <c r="P16" t="s">
        <v>134</v>
      </c>
      <c r="Q16">
        <v>0.14599999999999999</v>
      </c>
      <c r="R16">
        <v>0.14899999999999999</v>
      </c>
      <c r="S16">
        <v>6.2E-2</v>
      </c>
      <c r="T16">
        <v>21.3</v>
      </c>
      <c r="U16">
        <v>21.6</v>
      </c>
      <c r="V16">
        <v>21.2</v>
      </c>
      <c r="W16">
        <v>22.2</v>
      </c>
      <c r="X16">
        <v>0.21199999999999999</v>
      </c>
      <c r="Y16">
        <v>0.16400000000000001</v>
      </c>
      <c r="Z16">
        <v>0.18099999999999999</v>
      </c>
      <c r="BJ16" s="28"/>
    </row>
    <row r="17" spans="16:62" x14ac:dyDescent="0.2">
      <c r="P17" t="s">
        <v>133</v>
      </c>
      <c r="Q17">
        <v>1.6060000000000001</v>
      </c>
      <c r="R17">
        <v>1.5820000000000001</v>
      </c>
      <c r="S17">
        <v>1.575</v>
      </c>
      <c r="T17">
        <v>2.58</v>
      </c>
      <c r="U17">
        <v>2.59</v>
      </c>
      <c r="V17">
        <v>3.1</v>
      </c>
      <c r="W17">
        <v>3.1</v>
      </c>
      <c r="X17">
        <v>1.6339999999999999</v>
      </c>
      <c r="Y17">
        <v>1.3859999999999999</v>
      </c>
      <c r="Z17">
        <v>1.6040000000000001</v>
      </c>
      <c r="BJ17" s="28"/>
    </row>
    <row r="18" spans="16:62" x14ac:dyDescent="0.2">
      <c r="BJ18" s="28"/>
    </row>
    <row r="19" spans="16:62" x14ac:dyDescent="0.2">
      <c r="BJ19" s="28"/>
    </row>
    <row r="20" spans="16:62" ht="15.75" x14ac:dyDescent="0.2">
      <c r="AK20" s="1" t="s">
        <v>0</v>
      </c>
      <c r="AL20" t="s">
        <v>222</v>
      </c>
      <c r="AN20" t="s">
        <v>223</v>
      </c>
      <c r="AP20" t="s">
        <v>224</v>
      </c>
      <c r="AR20" t="s">
        <v>227</v>
      </c>
      <c r="AT20" t="s">
        <v>229</v>
      </c>
      <c r="AV20" t="s">
        <v>221</v>
      </c>
      <c r="AY20" s="27" t="s">
        <v>13</v>
      </c>
      <c r="AZ20" s="24" t="s">
        <v>12</v>
      </c>
      <c r="BJ20" s="28"/>
    </row>
    <row r="21" spans="16:62" x14ac:dyDescent="0.2">
      <c r="AK21" t="s">
        <v>37</v>
      </c>
      <c r="AL21">
        <f t="shared" ref="AL21:AL30" si="28">E2/171.68</f>
        <v>0.98185739618929269</v>
      </c>
      <c r="AN21">
        <f t="shared" ref="AN21:AN30" si="29">6.49/F2</f>
        <v>1.2222222222222223</v>
      </c>
      <c r="AP21">
        <f t="shared" ref="AP21:AP30" si="30">1.27/G2</f>
        <v>2.0483870967741935</v>
      </c>
      <c r="AR21">
        <f>26.89/H2</f>
        <v>2.0668716372021523</v>
      </c>
      <c r="AT21">
        <f>23.98/I2</f>
        <v>1.345679012345679</v>
      </c>
      <c r="AV21">
        <v>0.99840127931760636</v>
      </c>
      <c r="AY21" s="56">
        <v>0.92579999999999996</v>
      </c>
      <c r="AZ21" s="56">
        <v>0.33250000000000002</v>
      </c>
      <c r="BJ21" s="28"/>
    </row>
    <row r="22" spans="16:62" x14ac:dyDescent="0.2">
      <c r="AK22" t="s">
        <v>38</v>
      </c>
      <c r="AL22">
        <f t="shared" si="28"/>
        <v>0.98683111991301631</v>
      </c>
      <c r="AN22">
        <f t="shared" si="29"/>
        <v>1.1056218057921636</v>
      </c>
      <c r="AP22">
        <f t="shared" si="30"/>
        <v>1.9538461538461538</v>
      </c>
      <c r="AR22">
        <f t="shared" ref="AR22:AR30" si="31">26.89/H3</f>
        <v>1.2780418250950571</v>
      </c>
      <c r="AT22">
        <f t="shared" ref="AT22:AT30" si="32">23.98/I3</f>
        <v>1.231006160164271</v>
      </c>
      <c r="AV22">
        <v>0.99740337707256976</v>
      </c>
      <c r="AY22" s="56">
        <v>0.93920000000000003</v>
      </c>
      <c r="AZ22" s="56">
        <v>0.3362</v>
      </c>
      <c r="BJ22" s="28"/>
    </row>
    <row r="23" spans="16:62" x14ac:dyDescent="0.2">
      <c r="AK23" t="s">
        <v>39</v>
      </c>
      <c r="AL23">
        <f t="shared" si="28"/>
        <v>0.98932445376410894</v>
      </c>
      <c r="AN23">
        <f t="shared" si="29"/>
        <v>1.1385964912280702</v>
      </c>
      <c r="AP23">
        <f t="shared" si="30"/>
        <v>1.4941176470588236</v>
      </c>
      <c r="AR23">
        <f t="shared" si="31"/>
        <v>1.1466950959488273</v>
      </c>
      <c r="AT23">
        <f t="shared" si="32"/>
        <v>1.4702636419374617</v>
      </c>
      <c r="AV23">
        <v>0.99531102771647961</v>
      </c>
      <c r="AY23" s="56">
        <v>0.94620000000000004</v>
      </c>
      <c r="AZ23" s="56">
        <v>0.3382</v>
      </c>
      <c r="BJ23" s="28"/>
    </row>
    <row r="24" spans="16:62" x14ac:dyDescent="0.2">
      <c r="AK24" t="s">
        <v>40</v>
      </c>
      <c r="AL24">
        <f t="shared" si="28"/>
        <v>0.99187441752096916</v>
      </c>
      <c r="AN24">
        <f t="shared" si="29"/>
        <v>1</v>
      </c>
      <c r="AP24">
        <f t="shared" si="30"/>
        <v>1.27</v>
      </c>
      <c r="AR24">
        <f t="shared" si="31"/>
        <v>1</v>
      </c>
      <c r="AT24">
        <f t="shared" si="32"/>
        <v>1.2708002119766826</v>
      </c>
      <c r="AV24">
        <v>0.99203191483706066</v>
      </c>
      <c r="AY24" s="56">
        <v>0.95279999999999998</v>
      </c>
      <c r="AZ24" s="56">
        <v>0.34010000000000001</v>
      </c>
    </row>
    <row r="25" spans="16:62" x14ac:dyDescent="0.2">
      <c r="AK25" t="s">
        <v>41</v>
      </c>
      <c r="AL25">
        <f t="shared" si="28"/>
        <v>0.99032923009216101</v>
      </c>
      <c r="AN25">
        <f t="shared" si="29"/>
        <v>1.1486725663716815</v>
      </c>
      <c r="AP25">
        <f t="shared" si="30"/>
        <v>1.1869158878504673</v>
      </c>
      <c r="AR25">
        <f t="shared" si="31"/>
        <v>1.4566630552546045</v>
      </c>
      <c r="AT25">
        <f t="shared" si="32"/>
        <v>1.7465404224326293</v>
      </c>
      <c r="AV25">
        <v>0.98846702060335279</v>
      </c>
      <c r="AY25" s="56">
        <v>0.94079999999999997</v>
      </c>
      <c r="AZ25" s="56">
        <v>0.33710000000000001</v>
      </c>
    </row>
    <row r="26" spans="16:62" x14ac:dyDescent="0.2">
      <c r="AK26" t="s">
        <v>42</v>
      </c>
      <c r="AL26">
        <f t="shared" si="28"/>
        <v>0.99438716733975352</v>
      </c>
      <c r="AN26">
        <f t="shared" si="29"/>
        <v>1.0780730897009967</v>
      </c>
      <c r="AP26">
        <f t="shared" si="30"/>
        <v>1.3229166666666667</v>
      </c>
      <c r="AR26">
        <f t="shared" si="31"/>
        <v>1.0267277586865216</v>
      </c>
      <c r="AT26">
        <f t="shared" si="32"/>
        <v>1.28372591006424</v>
      </c>
      <c r="AV26">
        <v>0.98078696898179296</v>
      </c>
      <c r="AY26" s="56">
        <v>0.93400000000000005</v>
      </c>
      <c r="AZ26" s="56">
        <v>0.33579999999999999</v>
      </c>
    </row>
    <row r="27" spans="16:62" x14ac:dyDescent="0.2">
      <c r="AK27" t="s">
        <v>43</v>
      </c>
      <c r="AL27">
        <f t="shared" si="28"/>
        <v>0.99534987573780664</v>
      </c>
      <c r="AN27">
        <f t="shared" si="29"/>
        <v>1.2176360225140712</v>
      </c>
      <c r="AP27">
        <f t="shared" si="30"/>
        <v>1.5487804878048781</v>
      </c>
      <c r="AR27">
        <f t="shared" si="31"/>
        <v>1.2025939177101967</v>
      </c>
      <c r="AT27">
        <f t="shared" si="32"/>
        <v>1.2948164146868251</v>
      </c>
      <c r="AV27">
        <v>0.9712222006007456</v>
      </c>
      <c r="AY27" s="56">
        <v>0.92290000000000005</v>
      </c>
      <c r="AZ27" s="56">
        <v>0.3332</v>
      </c>
    </row>
    <row r="28" spans="16:62" x14ac:dyDescent="0.2">
      <c r="AK28" t="s">
        <v>44</v>
      </c>
      <c r="AL28">
        <f t="shared" si="28"/>
        <v>0.99883018794656719</v>
      </c>
      <c r="AN28">
        <f t="shared" si="29"/>
        <v>1.094435075885329</v>
      </c>
      <c r="AP28">
        <f t="shared" si="30"/>
        <v>1.0672268907563025</v>
      </c>
      <c r="AR28">
        <f t="shared" si="31"/>
        <v>1.0508010941774131</v>
      </c>
      <c r="AT28">
        <f t="shared" si="32"/>
        <v>1</v>
      </c>
      <c r="AV28">
        <v>0.96406168290756411</v>
      </c>
      <c r="AY28" s="56">
        <v>0.91590000000000005</v>
      </c>
      <c r="AZ28" s="56">
        <v>0.33179999999999998</v>
      </c>
    </row>
    <row r="29" spans="16:62" x14ac:dyDescent="0.2">
      <c r="AK29" t="s">
        <v>45</v>
      </c>
      <c r="AL29">
        <f t="shared" si="28"/>
        <v>1.0000097079838459</v>
      </c>
      <c r="AN29">
        <f t="shared" si="29"/>
        <v>1.0871021775544389</v>
      </c>
      <c r="AP29">
        <f t="shared" si="30"/>
        <v>1.233009708737864</v>
      </c>
      <c r="AR29">
        <f t="shared" si="31"/>
        <v>1.481542699724518</v>
      </c>
      <c r="AT29">
        <f t="shared" si="32"/>
        <v>1.6335149863760219</v>
      </c>
      <c r="AV29">
        <v>0.9616545388840454</v>
      </c>
      <c r="AY29" s="56">
        <v>0.89970000000000006</v>
      </c>
      <c r="AZ29" s="56">
        <v>0.32740000000000002</v>
      </c>
    </row>
    <row r="30" spans="16:62" ht="15" thickBot="1" x14ac:dyDescent="0.25">
      <c r="AK30" t="s">
        <v>46</v>
      </c>
      <c r="AL30">
        <f t="shared" si="28"/>
        <v>0.99620579631355488</v>
      </c>
      <c r="AN30">
        <f t="shared" si="29"/>
        <v>1.0925925925925926</v>
      </c>
      <c r="AP30">
        <f t="shared" si="30"/>
        <v>1</v>
      </c>
      <c r="AR30">
        <f t="shared" si="31"/>
        <v>2.6466535433070866</v>
      </c>
      <c r="AT30">
        <f t="shared" si="32"/>
        <v>2.6644444444444444</v>
      </c>
      <c r="AV30">
        <v>0.97394543350932117</v>
      </c>
      <c r="AY30" s="57">
        <v>0.89849999999999997</v>
      </c>
      <c r="AZ30" s="57">
        <v>0.32719999999999999</v>
      </c>
    </row>
    <row r="31" spans="16:62" ht="15" thickTop="1" x14ac:dyDescent="0.2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opLeftCell="G1" zoomScale="130" zoomScaleNormal="130" workbookViewId="0">
      <selection activeCell="V1" sqref="V1"/>
    </sheetView>
  </sheetViews>
  <sheetFormatPr defaultRowHeight="14.25" x14ac:dyDescent="0.2"/>
  <cols>
    <col min="5" max="5" width="12.625" customWidth="1"/>
    <col min="10" max="10" width="11.875" customWidth="1"/>
    <col min="13" max="13" width="16.375" customWidth="1"/>
    <col min="17" max="17" width="7" customWidth="1"/>
  </cols>
  <sheetData>
    <row r="1" spans="1:23" x14ac:dyDescent="0.2">
      <c r="D1" t="s">
        <v>49</v>
      </c>
      <c r="F1" t="s">
        <v>14</v>
      </c>
      <c r="I1" t="s">
        <v>50</v>
      </c>
      <c r="K1" t="s">
        <v>51</v>
      </c>
      <c r="M1" t="s">
        <v>171</v>
      </c>
      <c r="N1" t="s">
        <v>49</v>
      </c>
      <c r="O1" t="s">
        <v>142</v>
      </c>
      <c r="P1" t="s">
        <v>50</v>
      </c>
      <c r="Q1" t="s">
        <v>51</v>
      </c>
      <c r="R1" t="s">
        <v>170</v>
      </c>
      <c r="T1" t="s">
        <v>174</v>
      </c>
      <c r="U1" t="s">
        <v>175</v>
      </c>
      <c r="V1" t="s">
        <v>177</v>
      </c>
      <c r="W1" t="s">
        <v>176</v>
      </c>
    </row>
    <row r="2" spans="1:23" x14ac:dyDescent="0.2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23</v>
      </c>
      <c r="G2" s="2" t="s">
        <v>24</v>
      </c>
      <c r="H2" s="1" t="s">
        <v>14</v>
      </c>
      <c r="I2" s="2" t="s">
        <v>35</v>
      </c>
      <c r="J2" s="2" t="s">
        <v>36</v>
      </c>
      <c r="K2" s="1" t="s">
        <v>47</v>
      </c>
      <c r="L2" s="1"/>
      <c r="M2" s="1" t="s">
        <v>172</v>
      </c>
      <c r="N2">
        <v>4000</v>
      </c>
      <c r="O2">
        <v>5900</v>
      </c>
      <c r="P2">
        <v>322</v>
      </c>
      <c r="Q2">
        <v>34.5</v>
      </c>
      <c r="R2">
        <f>N2*0.2+O2*0.25+P2*0.2+Q28*0.15</f>
        <v>2339.4</v>
      </c>
    </row>
    <row r="3" spans="1:23" x14ac:dyDescent="0.2">
      <c r="A3" t="s">
        <v>37</v>
      </c>
      <c r="B3">
        <v>122.3</v>
      </c>
      <c r="C3">
        <v>30.74</v>
      </c>
      <c r="D3">
        <v>6.26</v>
      </c>
      <c r="E3">
        <v>150.13</v>
      </c>
      <c r="F3">
        <v>0.66</v>
      </c>
      <c r="G3">
        <v>4.05</v>
      </c>
      <c r="H3">
        <v>1.06</v>
      </c>
      <c r="I3">
        <v>0.78</v>
      </c>
      <c r="J3">
        <v>244.56</v>
      </c>
      <c r="K3">
        <v>611124</v>
      </c>
      <c r="M3" t="s">
        <v>173</v>
      </c>
      <c r="N3">
        <v>2300</v>
      </c>
      <c r="O3">
        <v>250</v>
      </c>
      <c r="P3">
        <v>110</v>
      </c>
      <c r="Q3">
        <v>12</v>
      </c>
      <c r="R3">
        <f>N3*0.2+O3*0.25+P3*0.2+Q29*0.15</f>
        <v>544.5</v>
      </c>
    </row>
    <row r="4" spans="1:23" x14ac:dyDescent="0.2">
      <c r="A4" t="s">
        <v>38</v>
      </c>
      <c r="B4">
        <v>122.8</v>
      </c>
      <c r="C4">
        <v>29.7</v>
      </c>
      <c r="D4">
        <v>6.79</v>
      </c>
      <c r="E4">
        <v>191.45</v>
      </c>
      <c r="F4">
        <v>1.39</v>
      </c>
      <c r="G4">
        <v>6.42</v>
      </c>
      <c r="H4">
        <v>6.58</v>
      </c>
      <c r="I4">
        <v>0.48</v>
      </c>
      <c r="J4">
        <v>54.95</v>
      </c>
      <c r="K4">
        <v>293798</v>
      </c>
    </row>
    <row r="5" spans="1:23" x14ac:dyDescent="0.2">
      <c r="A5" t="s">
        <v>39</v>
      </c>
      <c r="B5">
        <v>122.9</v>
      </c>
      <c r="C5">
        <v>30.16</v>
      </c>
      <c r="D5">
        <v>6.65</v>
      </c>
      <c r="E5">
        <v>180.43</v>
      </c>
      <c r="F5">
        <v>1.35</v>
      </c>
      <c r="G5">
        <v>6.38</v>
      </c>
      <c r="H5">
        <v>6.57</v>
      </c>
      <c r="I5">
        <v>0.41</v>
      </c>
      <c r="J5">
        <v>34.54</v>
      </c>
      <c r="K5">
        <v>595067</v>
      </c>
    </row>
    <row r="6" spans="1:23" x14ac:dyDescent="0.2">
      <c r="A6" t="s">
        <v>40</v>
      </c>
      <c r="B6">
        <v>123</v>
      </c>
      <c r="C6">
        <v>30.72</v>
      </c>
      <c r="D6">
        <v>6.59</v>
      </c>
      <c r="E6">
        <v>175.36</v>
      </c>
      <c r="F6">
        <v>1.33</v>
      </c>
      <c r="G6">
        <v>6.31</v>
      </c>
      <c r="H6">
        <v>6.47</v>
      </c>
      <c r="I6">
        <v>0.57999999999999996</v>
      </c>
      <c r="J6">
        <v>98.26</v>
      </c>
      <c r="K6">
        <v>600602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5</vt:i4>
      </vt:variant>
    </vt:vector>
  </HeadingPairs>
  <TitlesOfParts>
    <vt:vector size="13" baseType="lpstr">
      <vt:lpstr>风能</vt:lpstr>
      <vt:lpstr>风能选型最新</vt:lpstr>
      <vt:lpstr>风机功率曲线</vt:lpstr>
      <vt:lpstr>风功率曲线2</vt:lpstr>
      <vt:lpstr>波浪选型</vt:lpstr>
      <vt:lpstr>潮流</vt:lpstr>
      <vt:lpstr>光伏选型最新</vt:lpstr>
      <vt:lpstr>综合考虑</vt:lpstr>
      <vt:lpstr>潮流!_Hlk103191855</vt:lpstr>
      <vt:lpstr>风能!_Hlk128647562</vt:lpstr>
      <vt:lpstr>潮流!_Hlk98355620</vt:lpstr>
      <vt:lpstr>潮流!_Hlk98355649</vt:lpstr>
      <vt:lpstr>潮流!_Hlk98358281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h</dc:creator>
  <cp:lastModifiedBy>zxc</cp:lastModifiedBy>
  <dcterms:created xsi:type="dcterms:W3CDTF">2015-06-05T18:19:34Z</dcterms:created>
  <dcterms:modified xsi:type="dcterms:W3CDTF">2025-09-25T11:27:19Z</dcterms:modified>
</cp:coreProperties>
</file>